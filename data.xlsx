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rupoinditex.sharepoint.com/sites/OficinaIACorporativo/Shared Documents/Priorización y seguimiento/"/>
    </mc:Choice>
  </mc:AlternateContent>
  <xr:revisionPtr revIDLastSave="2717" documentId="13_ncr:1_{AD74628D-BE06-4FC1-BE04-2187DD70E9AC}" xr6:coauthVersionLast="47" xr6:coauthVersionMax="47" xr10:uidLastSave="{128EC824-8E15-4ECD-80F8-EB4AB9CE0A13}"/>
  <bookViews>
    <workbookView xWindow="-110" yWindow="-110" windowWidth="25820" windowHeight="15500" xr2:uid="{00000000-000D-0000-FFFF-FFFF00000000}"/>
  </bookViews>
  <sheets>
    <sheet name="Seguimiento 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4" i="1" l="1" a="1"/>
  <c r="BC4" i="1" s="1"/>
  <c r="BD59" i="1" a="1"/>
  <c r="BD59" i="1" s="1"/>
  <c r="BC59" i="1" a="1"/>
  <c r="BC59" i="1" s="1"/>
  <c r="AM59" i="1"/>
  <c r="W59" i="1"/>
  <c r="Q59" i="1"/>
  <c r="Q58" i="1"/>
  <c r="W58" i="1"/>
  <c r="AM58" i="1"/>
  <c r="BC58" i="1" a="1"/>
  <c r="BC58" i="1" s="1"/>
  <c r="BD58" i="1" a="1"/>
  <c r="BD58" i="1" s="1"/>
  <c r="BC45" i="1" l="1" a="1"/>
  <c r="BC45" i="1" s="1"/>
  <c r="BD57" i="1" a="1"/>
  <c r="BD57" i="1" s="1"/>
  <c r="BC57" i="1" a="1"/>
  <c r="BC57" i="1" s="1"/>
  <c r="AM57" i="1"/>
  <c r="AC57" i="1"/>
  <c r="W57" i="1"/>
  <c r="Q57" i="1"/>
  <c r="Q56" i="1"/>
  <c r="W56" i="1"/>
  <c r="AM56" i="1"/>
  <c r="BC56" i="1" a="1"/>
  <c r="BC56" i="1" s="1"/>
  <c r="BD56" i="1" a="1"/>
  <c r="BD56" i="1" s="1"/>
  <c r="BC47" i="1" a="1"/>
  <c r="BC47" i="1" s="1"/>
  <c r="Q55" i="1"/>
  <c r="W55" i="1"/>
  <c r="AM55" i="1"/>
  <c r="BC55" i="1" a="1"/>
  <c r="BC55" i="1" s="1"/>
  <c r="BD55" i="1" a="1"/>
  <c r="BD55" i="1" s="1"/>
  <c r="BC38" i="1" a="1"/>
  <c r="BC38" i="1" s="1"/>
  <c r="BD3" i="1" a="1"/>
  <c r="BD3" i="1" s="1"/>
  <c r="BD5" i="1" a="1"/>
  <c r="BD5" i="1" s="1"/>
  <c r="BD6" i="1" a="1"/>
  <c r="BD6" i="1" s="1"/>
  <c r="BD7" i="1" a="1"/>
  <c r="BD7" i="1" s="1"/>
  <c r="BD8" i="1" a="1"/>
  <c r="BD8" i="1" s="1"/>
  <c r="BD9" i="1" a="1"/>
  <c r="BD9" i="1" s="1"/>
  <c r="BD10" i="1" a="1"/>
  <c r="BD10" i="1" s="1"/>
  <c r="BD11" i="1" a="1"/>
  <c r="BD11" i="1" s="1"/>
  <c r="BD12" i="1" a="1"/>
  <c r="BD12" i="1" s="1"/>
  <c r="BD13" i="1" a="1"/>
  <c r="BD13" i="1" s="1"/>
  <c r="BD14" i="1" a="1"/>
  <c r="BD14" i="1" s="1"/>
  <c r="BD15" i="1" a="1"/>
  <c r="BD15" i="1" s="1"/>
  <c r="BD16" i="1" a="1"/>
  <c r="BD16" i="1" s="1"/>
  <c r="BD17" i="1" a="1"/>
  <c r="BD17" i="1" s="1"/>
  <c r="BD19" i="1" a="1"/>
  <c r="BD19" i="1" s="1"/>
  <c r="BD20" i="1" a="1"/>
  <c r="BD20" i="1" s="1"/>
  <c r="BD21" i="1" a="1"/>
  <c r="BD21" i="1" s="1"/>
  <c r="BD22" i="1" a="1"/>
  <c r="BD22" i="1" s="1"/>
  <c r="BD23" i="1" a="1"/>
  <c r="BD23" i="1" s="1"/>
  <c r="BD24" i="1" a="1"/>
  <c r="BD24" i="1" s="1"/>
  <c r="BD25" i="1" a="1"/>
  <c r="BD25" i="1" s="1"/>
  <c r="BD26" i="1" a="1"/>
  <c r="BD26" i="1" s="1"/>
  <c r="BD27" i="1" a="1"/>
  <c r="BD27" i="1" s="1"/>
  <c r="BD28" i="1" a="1"/>
  <c r="BD28" i="1" s="1"/>
  <c r="BD29" i="1" a="1"/>
  <c r="BD29" i="1" s="1"/>
  <c r="BD30" i="1" a="1"/>
  <c r="BD30" i="1" s="1"/>
  <c r="BD31" i="1" a="1"/>
  <c r="BD31" i="1" s="1"/>
  <c r="BD32" i="1" a="1"/>
  <c r="BD32" i="1" s="1"/>
  <c r="BD33" i="1" a="1"/>
  <c r="BD33" i="1" s="1"/>
  <c r="BD34" i="1" a="1"/>
  <c r="BD34" i="1" s="1"/>
  <c r="BD35" i="1" a="1"/>
  <c r="BD35" i="1" s="1"/>
  <c r="BD36" i="1" a="1"/>
  <c r="BD36" i="1" s="1"/>
  <c r="BD37" i="1" a="1"/>
  <c r="BD37" i="1" s="1"/>
  <c r="BD38" i="1" a="1"/>
  <c r="BD38" i="1" s="1"/>
  <c r="BD39" i="1" a="1"/>
  <c r="BD39" i="1" s="1"/>
  <c r="BD40" i="1" a="1"/>
  <c r="BD40" i="1" s="1"/>
  <c r="BD41" i="1" a="1"/>
  <c r="BD41" i="1" s="1"/>
  <c r="BD42" i="1" a="1"/>
  <c r="BD42" i="1" s="1"/>
  <c r="BD43" i="1" a="1"/>
  <c r="BD43" i="1" s="1"/>
  <c r="BD44" i="1" a="1"/>
  <c r="BD44" i="1" s="1"/>
  <c r="BD45" i="1" a="1"/>
  <c r="BD45" i="1" s="1"/>
  <c r="BD46" i="1" a="1"/>
  <c r="BD46" i="1" s="1"/>
  <c r="BD48" i="1" a="1"/>
  <c r="BD48" i="1" s="1"/>
  <c r="BD49" i="1" a="1"/>
  <c r="BD49" i="1" s="1"/>
  <c r="BD50" i="1" a="1"/>
  <c r="BD50" i="1" s="1"/>
  <c r="BD51" i="1" a="1"/>
  <c r="BD51" i="1" s="1"/>
  <c r="BD52" i="1" a="1"/>
  <c r="BD52" i="1" s="1"/>
  <c r="BD53" i="1" a="1"/>
  <c r="BD53" i="1" s="1"/>
  <c r="BD54" i="1" a="1"/>
  <c r="BD54" i="1" s="1"/>
  <c r="BC3" i="1" a="1"/>
  <c r="BC3" i="1" s="1"/>
  <c r="BC5" i="1" a="1"/>
  <c r="BC5" i="1" s="1"/>
  <c r="BC6" i="1" a="1"/>
  <c r="BC6" i="1" s="1"/>
  <c r="BC7" i="1" a="1"/>
  <c r="BC7" i="1" s="1"/>
  <c r="BC8" i="1" a="1"/>
  <c r="BC8" i="1" s="1"/>
  <c r="BC9" i="1" a="1"/>
  <c r="BC9" i="1" s="1"/>
  <c r="BC10" i="1" a="1"/>
  <c r="BC10" i="1" s="1"/>
  <c r="BC11" i="1" a="1"/>
  <c r="BC11" i="1" s="1"/>
  <c r="BC12" i="1" a="1"/>
  <c r="BC12" i="1" s="1"/>
  <c r="BC13" i="1" a="1"/>
  <c r="BC13" i="1" s="1"/>
  <c r="BC14" i="1" a="1"/>
  <c r="BC14" i="1" s="1"/>
  <c r="BC15" i="1" a="1"/>
  <c r="BC15" i="1" s="1"/>
  <c r="BC16" i="1" a="1"/>
  <c r="BC16" i="1" s="1"/>
  <c r="BC17" i="1" a="1"/>
  <c r="BC17" i="1" s="1"/>
  <c r="BC18" i="1" a="1"/>
  <c r="BC18" i="1" s="1"/>
  <c r="BC19" i="1" a="1"/>
  <c r="BC19" i="1" s="1"/>
  <c r="BC20" i="1" a="1"/>
  <c r="BC20" i="1" s="1"/>
  <c r="BC21" i="1" a="1"/>
  <c r="BC21" i="1" s="1"/>
  <c r="BC22" i="1" a="1"/>
  <c r="BC22" i="1" s="1"/>
  <c r="BC23" i="1" a="1"/>
  <c r="BC23" i="1" s="1"/>
  <c r="BC24" i="1" a="1"/>
  <c r="BC24" i="1" s="1"/>
  <c r="BC25" i="1" a="1"/>
  <c r="BC25" i="1" s="1"/>
  <c r="BC26" i="1" a="1"/>
  <c r="BC26" i="1" s="1"/>
  <c r="BC27" i="1" a="1"/>
  <c r="BC27" i="1" s="1"/>
  <c r="BC28" i="1" a="1"/>
  <c r="BC28" i="1" s="1"/>
  <c r="BC29" i="1" a="1"/>
  <c r="BC29" i="1" s="1"/>
  <c r="BC30" i="1" a="1"/>
  <c r="BC30" i="1" s="1"/>
  <c r="BC31" i="1" a="1"/>
  <c r="BC31" i="1" s="1"/>
  <c r="BC32" i="1" a="1"/>
  <c r="BC32" i="1" s="1"/>
  <c r="BC33" i="1" a="1"/>
  <c r="BC33" i="1" s="1"/>
  <c r="BC34" i="1" a="1"/>
  <c r="BC34" i="1" s="1"/>
  <c r="BC35" i="1" a="1"/>
  <c r="BC35" i="1" s="1"/>
  <c r="BC36" i="1" a="1"/>
  <c r="BC36" i="1" s="1"/>
  <c r="BC37" i="1" a="1"/>
  <c r="BC37" i="1" s="1"/>
  <c r="BC39" i="1" a="1"/>
  <c r="BC39" i="1" s="1"/>
  <c r="BC40" i="1" a="1"/>
  <c r="BC40" i="1" s="1"/>
  <c r="BC41" i="1" a="1"/>
  <c r="BC41" i="1" s="1"/>
  <c r="BC42" i="1" a="1"/>
  <c r="BC42" i="1" s="1"/>
  <c r="BC43" i="1" a="1"/>
  <c r="BC43" i="1" s="1"/>
  <c r="BC44" i="1" a="1"/>
  <c r="BC44" i="1" s="1"/>
  <c r="BC46" i="1" a="1"/>
  <c r="BC46" i="1" s="1"/>
  <c r="BC48" i="1" a="1"/>
  <c r="BC48" i="1" s="1"/>
  <c r="BC49" i="1" a="1"/>
  <c r="BC49" i="1" s="1"/>
  <c r="BC50" i="1" a="1"/>
  <c r="BC50" i="1" s="1"/>
  <c r="BC51" i="1" a="1"/>
  <c r="BC51" i="1" s="1"/>
  <c r="BC52" i="1" a="1"/>
  <c r="BC52" i="1" s="1"/>
  <c r="BC53" i="1" a="1"/>
  <c r="BC53" i="1" s="1"/>
  <c r="BC54" i="1" a="1"/>
  <c r="BC54" i="1" s="1"/>
  <c r="BD47" i="1" l="1" a="1"/>
  <c r="BD47" i="1" s="1"/>
  <c r="Q54" i="1"/>
  <c r="W54" i="1"/>
  <c r="AM54" i="1"/>
  <c r="Q53" i="1"/>
  <c r="W53" i="1"/>
  <c r="AM53" i="1"/>
  <c r="Q52" i="1"/>
  <c r="W52" i="1"/>
  <c r="AM52" i="1"/>
  <c r="Q29" i="1"/>
  <c r="AM29" i="1"/>
  <c r="W29" i="1"/>
  <c r="AM3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AM51" i="1"/>
  <c r="AM50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C45" i="1"/>
  <c r="AC49" i="1"/>
  <c r="AC48" i="1"/>
  <c r="AC46" i="1"/>
  <c r="AC47" i="1"/>
  <c r="AN59" i="1" l="1"/>
  <c r="AN58" i="1"/>
  <c r="AN57" i="1"/>
  <c r="AN56" i="1"/>
  <c r="AN55" i="1"/>
  <c r="AN54" i="1"/>
  <c r="AN53" i="1"/>
  <c r="AN52" i="1"/>
  <c r="AN29" i="1"/>
  <c r="AN3" i="1"/>
  <c r="AN21" i="1"/>
  <c r="AN36" i="1"/>
  <c r="AN15" i="1"/>
  <c r="AN35" i="1"/>
  <c r="AN14" i="1"/>
  <c r="AN34" i="1"/>
  <c r="AN13" i="1"/>
  <c r="AN40" i="1"/>
  <c r="AN18" i="1"/>
  <c r="AN38" i="1"/>
  <c r="AN33" i="1"/>
  <c r="AN12" i="1"/>
  <c r="AN20" i="1"/>
  <c r="AN17" i="1"/>
  <c r="AN16" i="1"/>
  <c r="AN32" i="1"/>
  <c r="AN11" i="1"/>
  <c r="AN31" i="1"/>
  <c r="AN10" i="1"/>
  <c r="AN51" i="1"/>
  <c r="AN39" i="1"/>
  <c r="AN37" i="1"/>
  <c r="AN30" i="1"/>
  <c r="AN9" i="1"/>
  <c r="AN23" i="1"/>
  <c r="AN41" i="1"/>
  <c r="AN49" i="1"/>
  <c r="AN28" i="1"/>
  <c r="AN8" i="1"/>
  <c r="AN27" i="1"/>
  <c r="AN47" i="1"/>
  <c r="AN6" i="1"/>
  <c r="AN46" i="1"/>
  <c r="AN25" i="1"/>
  <c r="AN5" i="1"/>
  <c r="AN42" i="1"/>
  <c r="AN48" i="1"/>
  <c r="AN7" i="1"/>
  <c r="AN26" i="1"/>
  <c r="AN45" i="1"/>
  <c r="AN24" i="1"/>
  <c r="AN4" i="1"/>
  <c r="AN44" i="1"/>
  <c r="AN43" i="1"/>
  <c r="AN22" i="1"/>
  <c r="AN50" i="1"/>
  <c r="AN19" i="1"/>
  <c r="AC38" i="1"/>
  <c r="AC37" i="1"/>
  <c r="AC36" i="1"/>
  <c r="AC35" i="1"/>
  <c r="AC34" i="1"/>
  <c r="AC33" i="1"/>
  <c r="AC32" i="1"/>
  <c r="AC31" i="1"/>
  <c r="AC30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<sst xmlns="http://schemas.openxmlformats.org/spreadsheetml/2006/main" count="1278" uniqueCount="405">
  <si>
    <t>PROCESO</t>
  </si>
  <si>
    <t>TIPOLOGIA IA</t>
  </si>
  <si>
    <t>VIABILIDAD</t>
  </si>
  <si>
    <t>COMPLEJIDAD</t>
  </si>
  <si>
    <t>RETORNO</t>
  </si>
  <si>
    <t>PRIORIDAD</t>
  </si>
  <si>
    <t>INFO ADICIONAL</t>
  </si>
  <si>
    <t>SEGUIMIENTO</t>
  </si>
  <si>
    <t>ARQUITECTURA</t>
  </si>
  <si>
    <t>Id</t>
  </si>
  <si>
    <t>Descripción resumida de la iniciativa</t>
  </si>
  <si>
    <t>Descripción ejecutiva</t>
  </si>
  <si>
    <t>Departamento</t>
  </si>
  <si>
    <t>Proceso impactado</t>
  </si>
  <si>
    <t>Clasificacion Proceso</t>
  </si>
  <si>
    <t>Volumen del proceso (M€)</t>
  </si>
  <si>
    <t>Criticidad Proceso</t>
  </si>
  <si>
    <t>Tipo IA</t>
  </si>
  <si>
    <t>Dominio funcional de IA</t>
  </si>
  <si>
    <t>Procesamiento de documentos / Visión</t>
  </si>
  <si>
    <t>IA Generativa / Conversacional</t>
  </si>
  <si>
    <t>Analítica / Diagnóstica / Recomendación</t>
  </si>
  <si>
    <t>Predictiva / Forecasting</t>
  </si>
  <si>
    <t>Modelo / Proveedor de IA</t>
  </si>
  <si>
    <t>Viabilidad</t>
  </si>
  <si>
    <t>Socre Viabilidad</t>
  </si>
  <si>
    <t>Datos Requeridos</t>
  </si>
  <si>
    <t>Disponibilidad de datos</t>
  </si>
  <si>
    <t>Madurez Funcional</t>
  </si>
  <si>
    <t>Time to value</t>
  </si>
  <si>
    <t>Complejidad</t>
  </si>
  <si>
    <t>Score Complejidad</t>
  </si>
  <si>
    <t>Complejidad técnica (esfuerzo)</t>
  </si>
  <si>
    <t>Complejidad organizativa</t>
  </si>
  <si>
    <t>Retorno esperado</t>
  </si>
  <si>
    <t>Tipo de Retorno</t>
  </si>
  <si>
    <t xml:space="preserve">Impacto en negocio </t>
  </si>
  <si>
    <t>Ahorro estimado (€ / año)</t>
  </si>
  <si>
    <t>Usuarios Impactados</t>
  </si>
  <si>
    <t>Prioridad sugerida</t>
  </si>
  <si>
    <t>ROI Business Case</t>
  </si>
  <si>
    <t>Viabilidad puntos</t>
  </si>
  <si>
    <t>Reach</t>
  </si>
  <si>
    <t>Impact</t>
  </si>
  <si>
    <t>Confidence</t>
  </si>
  <si>
    <t>Effort</t>
  </si>
  <si>
    <t>AI Complexity</t>
  </si>
  <si>
    <t>RIC</t>
  </si>
  <si>
    <t>TIER</t>
  </si>
  <si>
    <t>Principales riesgos</t>
  </si>
  <si>
    <t>Impacto en compliance</t>
  </si>
  <si>
    <t>Objetivo estratégico</t>
  </si>
  <si>
    <t>__PowerAppsId__</t>
  </si>
  <si>
    <t>Fecha Registro</t>
  </si>
  <si>
    <t>Inicio</t>
  </si>
  <si>
    <t>Análisis</t>
  </si>
  <si>
    <t>Priorización</t>
  </si>
  <si>
    <t>Piloto</t>
  </si>
  <si>
    <t>Diseño</t>
  </si>
  <si>
    <t>Iteración / Pruebas</t>
  </si>
  <si>
    <t>Mantenimiento</t>
  </si>
  <si>
    <t>Equipo IA Asignado</t>
  </si>
  <si>
    <t>Responsable</t>
  </si>
  <si>
    <t>Estado Iniciativa</t>
  </si>
  <si>
    <t>Fin Estimado</t>
  </si>
  <si>
    <t>Alerta</t>
  </si>
  <si>
    <t>BBDD</t>
  </si>
  <si>
    <t>OCR</t>
  </si>
  <si>
    <t>Cluster Comp</t>
  </si>
  <si>
    <t>API</t>
  </si>
  <si>
    <t>Back End</t>
  </si>
  <si>
    <t>Modelo IA</t>
  </si>
  <si>
    <t>MCP</t>
  </si>
  <si>
    <t>RAG</t>
  </si>
  <si>
    <t>Prompting</t>
  </si>
  <si>
    <t>Front End</t>
  </si>
  <si>
    <t>Link DevHub</t>
  </si>
  <si>
    <t>Automatización proceso externo de facturas (DXC)</t>
  </si>
  <si>
    <t>Automatización servicio DXC end-to-end del registro de facturas con OCR y reglas por país, mejorando eficiencia, control y trazabilidad contable.</t>
  </si>
  <si>
    <t>Finanzas (Admon)</t>
  </si>
  <si>
    <t>Facturas</t>
  </si>
  <si>
    <t>Back Office</t>
  </si>
  <si>
    <t>Analítica / Cognitiva</t>
  </si>
  <si>
    <t>SI</t>
  </si>
  <si>
    <t>Modelos fundacionales vía API</t>
  </si>
  <si>
    <t>Alta</t>
  </si>
  <si>
    <t>Plataforma DXC, SAP FI, imágenes facturas, reglas fiscales</t>
  </si>
  <si>
    <t>Disponible y accesible</t>
  </si>
  <si>
    <t>Medio (3–6 meses)</t>
  </si>
  <si>
    <t>Media</t>
  </si>
  <si>
    <t>L ~1 mes</t>
  </si>
  <si>
    <t>Alta (eficiencia/calidad)</t>
  </si>
  <si>
    <t>Incremento Eficiencia</t>
  </si>
  <si>
    <t xml:space="preserve">Alta </t>
  </si>
  <si>
    <t>Internos (depatramento x)</t>
  </si>
  <si>
    <t>Calidad de imagen, excepciones fiscales locales, governance.</t>
  </si>
  <si>
    <t>4.1 Eficiencia operativa y control del gasto (mejorar margen operativo, ROCE/ROE y gestión del capital).</t>
  </si>
  <si>
    <t>f0bf1460-7f20-4104-beea-b4767d82a301</t>
  </si>
  <si>
    <t>Agente para la automatización del registro contable</t>
  </si>
  <si>
    <t>Agente que genera asientos contables desde normativa y SAP, con validación supervisada y menor error manual.</t>
  </si>
  <si>
    <t>Cross</t>
  </si>
  <si>
    <t>Generativa / Analítica</t>
  </si>
  <si>
    <t>ARES, SAP FICO, maestros</t>
  </si>
  <si>
    <t>Largo (&gt; 6 meses)</t>
  </si>
  <si>
    <t>XXL ~6 mes</t>
  </si>
  <si>
    <t>Alta (ahorro costes)</t>
  </si>
  <si>
    <t>Incremento Beneficios</t>
  </si>
  <si>
    <t>Externos (proveedores)</t>
  </si>
  <si>
    <t>Dificultad para el escalado de la solución y control del coste.</t>
  </si>
  <si>
    <t>Medio</t>
  </si>
  <si>
    <t>Getronics</t>
  </si>
  <si>
    <t>Ruben</t>
  </si>
  <si>
    <t>Python</t>
  </si>
  <si>
    <t>KAIA V2</t>
  </si>
  <si>
    <t>Amiga Python</t>
  </si>
  <si>
    <t>Agente vs Agente</t>
  </si>
  <si>
    <t>IOP</t>
  </si>
  <si>
    <t>Control de facturas duplicadas</t>
  </si>
  <si>
    <t>Detección inteligente de facturas duplicadas para evitar pagos indebidos y reforzar el control financiero.</t>
  </si>
  <si>
    <t>SAP FI/AP, repositorio de facturas</t>
  </si>
  <si>
    <t>Corto (&lt; 3 meses)</t>
  </si>
  <si>
    <t>Baja</t>
  </si>
  <si>
    <t>M – 1–2 semanas</t>
  </si>
  <si>
    <t>Alta (ahorro)</t>
  </si>
  <si>
    <t>Externos (clientes)</t>
  </si>
  <si>
    <t>Falsos positivos/negativos y ajuste de umbrales.</t>
  </si>
  <si>
    <t>PwC</t>
  </si>
  <si>
    <t>Jesús Morillas</t>
  </si>
  <si>
    <t>KAIA</t>
  </si>
  <si>
    <t>Chat GPT 4.1</t>
  </si>
  <si>
    <t>Modelo IA para contratos de arrendamiento</t>
  </si>
  <si>
    <t>Extracción y análisis automático de contratos, generando alertas y soporte al ciclo contractual.</t>
  </si>
  <si>
    <t>Arrendamientos</t>
  </si>
  <si>
    <t>Repositorio documental, SAP RE, gestor de contratos</t>
  </si>
  <si>
    <t>XL – 2-3 mes</t>
  </si>
  <si>
    <t>Alta (gestión documental)</t>
  </si>
  <si>
    <t>Necesidad de validación legal y gestión de versiones.</t>
  </si>
  <si>
    <t>Marian Ribas</t>
  </si>
  <si>
    <t>Postgree SQL</t>
  </si>
  <si>
    <t>Azure AI</t>
  </si>
  <si>
    <t>Databricks</t>
  </si>
  <si>
    <t>Chat GPT 4.1 + Gemini2.5</t>
  </si>
  <si>
    <t>Streamlit</t>
  </si>
  <si>
    <t>Agente analista del CAPEX (inversión)</t>
  </si>
  <si>
    <t>Análisis avanzado de inversiones en tienda para priorizar CAPEX y optimizar decisiones financieras.</t>
  </si>
  <si>
    <t>Finanzas (PCG)</t>
  </si>
  <si>
    <t>CAPEX</t>
  </si>
  <si>
    <t>Desarrollo interno (IOP)</t>
  </si>
  <si>
    <t>Módulo AAFF, contabilidad, Ventas netas, CVI/SIE</t>
  </si>
  <si>
    <t>Media (insights)</t>
  </si>
  <si>
    <t>Retorno no financiero</t>
  </si>
  <si>
    <t xml:space="preserve">Media </t>
  </si>
  <si>
    <t>Demasiados condicionantes para alcanzar conclusiones fiables</t>
  </si>
  <si>
    <t>Agente informativo sobre los Activos Fijos del Grupo</t>
  </si>
  <si>
    <t>Asistente que consulta SAP y explica activos, amortizaciones y movimientos en lenguaje natural.</t>
  </si>
  <si>
    <t>Activos Fijos</t>
  </si>
  <si>
    <t>Cognitiva</t>
  </si>
  <si>
    <t>Módulo AAFF, contabilidad</t>
  </si>
  <si>
    <t>Baja (insights)</t>
  </si>
  <si>
    <t xml:space="preserve">Baja </t>
  </si>
  <si>
    <t>Retorno de la inversión (número de usuarios)</t>
  </si>
  <si>
    <t>Asistente de reporting analítico (cierres contables)</t>
  </si>
  <si>
    <t>Copiloto para cierres contables que mejora consistencia y productividad del reporting.</t>
  </si>
  <si>
    <t>Generativa / Cognitiva</t>
  </si>
  <si>
    <t>SAP SAC, repositorio contable</t>
  </si>
  <si>
    <t>Consistencia de plantillas y heterogeneidad entre filiales.</t>
  </si>
  <si>
    <t>Ainhoa Núñez</t>
  </si>
  <si>
    <t>Gestión de recibos y liquidaciones municipales</t>
  </si>
  <si>
    <t>Extracción estructurada de datos tributarios para automatizar control y cumplimiento.</t>
  </si>
  <si>
    <t>Finanzas (Fiscal)</t>
  </si>
  <si>
    <t>Pagos Municipales</t>
  </si>
  <si>
    <t>Analítica</t>
  </si>
  <si>
    <t>IVNEOS</t>
  </si>
  <si>
    <t>Disponible con esfuerzo</t>
  </si>
  <si>
    <t>Media (automatización)</t>
  </si>
  <si>
    <t>Heterogeneidad documental y cambios normativos locales.</t>
  </si>
  <si>
    <t>Plexus</t>
  </si>
  <si>
    <t>Borja</t>
  </si>
  <si>
    <t>Dockia</t>
  </si>
  <si>
    <t>Blackline: conciliación bancaria inteligente</t>
  </si>
  <si>
    <t>Identificación automática de descuadres y propuesta de reglas de conciliación.</t>
  </si>
  <si>
    <t>Finanzas (Tesorería)</t>
  </si>
  <si>
    <t>Analítica / Predictiva</t>
  </si>
  <si>
    <t>IA embebida en aplicación de mercado</t>
  </si>
  <si>
    <t>Blackline, extractos bancarios</t>
  </si>
  <si>
    <t>Alta (detección temprana)</t>
  </si>
  <si>
    <t>Calidad de mapping y tratamiento de outliers.</t>
  </si>
  <si>
    <t>SAP FCC: optimización de cierres contables</t>
  </si>
  <si>
    <t>Análisis de cuellos de botella en cierres con recomendaciones y automatización.</t>
  </si>
  <si>
    <t>SAP FCC, otros orígenes contables / maestros corporativos</t>
  </si>
  <si>
    <t>Media (eficiencia)</t>
  </si>
  <si>
    <t>Valor añadido de una funcionalidad que debería formar parte del roadmap de la herramienta.</t>
  </si>
  <si>
    <t>SCII/F: control de asientos por módulos</t>
  </si>
  <si>
    <t>Detección de asientos anómalos para reforzar control interno y cumplimiento.</t>
  </si>
  <si>
    <t>Control Interno</t>
  </si>
  <si>
    <t>Libro mayor, metadatos de origen, SAP módulos</t>
  </si>
  <si>
    <t>Media (control interno)</t>
  </si>
  <si>
    <t>Gestión del riesgo</t>
  </si>
  <si>
    <t>Volumen de datos y tuning de reglas/anomalías.</t>
  </si>
  <si>
    <t>4.2 Gestión de riesgos financieros y resiliencia (coberturas de divisa, gestión de materias primas, CFaR, liquidez y líneas de financiación).</t>
  </si>
  <si>
    <t>Gestión de riesgos de solvencia de proveedores</t>
  </si>
  <si>
    <t>Modelo predictivo de insolvencia a 6–12 meses para apoyar decisiones de riesgo.</t>
  </si>
  <si>
    <t>Finanzas (Riesgos)</t>
  </si>
  <si>
    <t>Gestión de proveedores</t>
  </si>
  <si>
    <t>Front Office</t>
  </si>
  <si>
    <t>Predictiva</t>
  </si>
  <si>
    <t>Moody’s, D&amp;B, Maestro proveedores, ProcessUnity</t>
  </si>
  <si>
    <t>Disponible, datos externos</t>
  </si>
  <si>
    <t>Media (riesgo)</t>
  </si>
  <si>
    <t>Disponibilidad de información válida y actualización de datos.</t>
  </si>
  <si>
    <t>Aduanas: Expansión del modelo de validación de ATR a EURMED y EUR.1</t>
  </si>
  <si>
    <t>Validación automática de documentación aduanera y detección de inconsistencias.</t>
  </si>
  <si>
    <t>Aduanas</t>
  </si>
  <si>
    <t>Core</t>
  </si>
  <si>
    <t>Optimización</t>
  </si>
  <si>
    <t>SAM Aduanas, documentación digitalizada por RICOH.</t>
  </si>
  <si>
    <t>Alta (eficiencia)</t>
  </si>
  <si>
    <t>Las reglas de matching de estos nuevos documentos son menos específicas y por lo tanto aumenta el riesgo de falsos positivos.</t>
  </si>
  <si>
    <t>Nicolás Ballarín + David Ipola</t>
  </si>
  <si>
    <t>SAP CAR (Ventas): Identificación de descuadres, patrones de fraude, etc...</t>
  </si>
  <si>
    <t>Análisis por ticket para detectar anomalías y posibles fraudes en caja.</t>
  </si>
  <si>
    <t>Ventas</t>
  </si>
  <si>
    <t>IA embebida en aplicación corporativa</t>
  </si>
  <si>
    <t>SAP CAR.</t>
  </si>
  <si>
    <t>Media (detección temprana)</t>
  </si>
  <si>
    <t>Soporte a las técnicas predictivas de la nueva herramienta de forecast</t>
  </si>
  <si>
    <t>Mejora del modelo financiero mediante IA para anticipar desviaciones.</t>
  </si>
  <si>
    <t>SAP BW, Snowflake, PaPM, SAC, modelos de Data analytics.</t>
  </si>
  <si>
    <t>Alta (soporte a la decisión)</t>
  </si>
  <si>
    <t>Alta complejidad del modelo de datos y variabilidad de la casuística</t>
  </si>
  <si>
    <t>Icorporate: Agente para el reporting</t>
  </si>
  <si>
    <t>Asistente que explica informes y datos corporativos en lenguaje natural.</t>
  </si>
  <si>
    <t>Finanzas</t>
  </si>
  <si>
    <t>iCorporate, herramientas de reporting.</t>
  </si>
  <si>
    <t>Grounding especifico para cada informe y</t>
  </si>
  <si>
    <t>KAIA V1</t>
  </si>
  <si>
    <t>Amiga Java</t>
  </si>
  <si>
    <t>Interpretación de contratos de compra de indirectos</t>
  </si>
  <si>
    <t>Extracción y normalización de condiciones contractuales para su control en sistemas.</t>
  </si>
  <si>
    <t>Compras</t>
  </si>
  <si>
    <t>Gestión de Contratos</t>
  </si>
  <si>
    <t>Ariba/IOP, IOP contratos</t>
  </si>
  <si>
    <t>Alta (trazabilidad)</t>
  </si>
  <si>
    <t>Variedad de formatos y necesidad de revisión humana.</t>
  </si>
  <si>
    <t>Análisis de condiciones de compra (precios/volumen)</t>
  </si>
  <si>
    <t>Análisis inteligente de precios y volúmenes para identificar ahorros y sinergias.</t>
  </si>
  <si>
    <t>Reporting Compras</t>
  </si>
  <si>
    <t>ERP compras, histórico pedidos (SFI Compras), Maestro de proveedores</t>
  </si>
  <si>
    <t>Calidad de la información. Consolidación de datos multiempresa y calidad del maestro.</t>
  </si>
  <si>
    <t>1.3 Flexibilidad y control de la cadena de suministro (series cortas, clústeres próximos y gestión de proveedores).</t>
  </si>
  <si>
    <t>Agente presupuestario conversacional</t>
  </si>
  <si>
    <t>Consulta conversacional de presupuesto y disponible por centro o partida.</t>
  </si>
  <si>
    <t>Cognitiva / Generativa</t>
  </si>
  <si>
    <t>SAP BW, SFI Compras/Ariba</t>
  </si>
  <si>
    <t>Media (agilidad)</t>
  </si>
  <si>
    <t>Carencias en los transaccionales (falta de información e integración del proceso presupuestario).</t>
  </si>
  <si>
    <t>Extracción de datos de fichas técnicas (SAP MM)</t>
  </si>
  <si>
    <t>OCR/NLP para estructurar atributos clave de fichas técnicas en SAP.</t>
  </si>
  <si>
    <t>Analítica / OCR</t>
  </si>
  <si>
    <t>Fichas técnicas PDF, SAP MM</t>
  </si>
  <si>
    <t>Calidad de PDF e idiomas; validación de campos críticos, posibles duplicidades o carencias en la información origen.</t>
  </si>
  <si>
    <t>Informe de 'periódica' de compras mejorado</t>
  </si>
  <si>
    <t>Generación automática de informes con detección de patrones y anomalías.</t>
  </si>
  <si>
    <t>SFI Compras</t>
  </si>
  <si>
    <t>Media (visibilidad)</t>
  </si>
  <si>
    <t>Definición de patrones por categoría y estacionalidad.</t>
  </si>
  <si>
    <t>Estimación de tránsitos por albaranes</t>
  </si>
  <si>
    <t>Predicción de fechas de entrega a partir de históricos logísticos.</t>
  </si>
  <si>
    <t>Albaranes</t>
  </si>
  <si>
    <t>SFI Compras, Remedy</t>
  </si>
  <si>
    <t>Media (planificación)</t>
  </si>
  <si>
    <t>Dependencia de la logísitica de terceros-</t>
  </si>
  <si>
    <t>Fusión de incidencias redundantes (servicios)</t>
  </si>
  <si>
    <t>Detección y agrupación de tickets duplicados para optimizar soporte.</t>
  </si>
  <si>
    <t>Gestor de incidencias</t>
  </si>
  <si>
    <t>Umbrales de similitud y calidad de descripciones.</t>
  </si>
  <si>
    <t>Global Retail: agente conversacional multilingüe (Back office)</t>
  </si>
  <si>
    <t>Asistente multilingüe para consultas operativas con escalado a ticketing.</t>
  </si>
  <si>
    <t>Gestión de Tienda</t>
  </si>
  <si>
    <t>Producto</t>
  </si>
  <si>
    <t>07, Remedy, Easydoc</t>
  </si>
  <si>
    <t>Alta (soporte)</t>
  </si>
  <si>
    <t>Calidad de la documentación base y entrenamiento continuo dada la recurrencia en la actualización.</t>
  </si>
  <si>
    <t>1.1 Modelo único de negocio con fuerte orientación al cliente.</t>
  </si>
  <si>
    <t>Global Retail: reporting inteligente AMTs/OMTs</t>
  </si>
  <si>
    <t>Modelo predictivo de KPIs operativos para optimizar planificación en tienda.</t>
  </si>
  <si>
    <t>Snowflake, PBIs</t>
  </si>
  <si>
    <t>Alta (planificación)</t>
  </si>
  <si>
    <t>Definición de KPIs comparables y calidad de datos.</t>
  </si>
  <si>
    <t>Global Retail: Herramienta de gestión de reclamaciones</t>
  </si>
  <si>
    <t>Clasificación y priorización inteligente de reclamaciones con trazabilidad.</t>
  </si>
  <si>
    <t>Retool, Remedy.</t>
  </si>
  <si>
    <t>Posible heterogeneidad de las denuncias.</t>
  </si>
  <si>
    <t>TechOps - PWC</t>
  </si>
  <si>
    <t>Retool</t>
  </si>
  <si>
    <t>Global Retail: Herramienta de gestión de denuncias</t>
  </si>
  <si>
    <t>Clasificación y priorización inteligente de denuncias con trazabilidad.</t>
  </si>
  <si>
    <t>Global Retail: Agente orquestador de comunicación a tienda +formación</t>
  </si>
  <si>
    <t>Automatización y estandarización de comunicaciones a tiendas.</t>
  </si>
  <si>
    <t>Easydoc.</t>
  </si>
  <si>
    <t>Existen otros departamentos con necesidades semejantes por lo que es necesaria una coordinación global en la que Global Retail es un player más.</t>
  </si>
  <si>
    <t>Optimización y analisis del dato de consumos de enregía</t>
  </si>
  <si>
    <t>Estimación y mejora de los datos de consumos (huecos, outliers, homogenización,…) para mejorar calidad del dato energético.</t>
  </si>
  <si>
    <t>Compras (Energía)</t>
  </si>
  <si>
    <t>Consumo energético</t>
  </si>
  <si>
    <t>Inergy</t>
  </si>
  <si>
    <t>Media (calidad dato)</t>
  </si>
  <si>
    <t>-</t>
  </si>
  <si>
    <t>Energía: Optimización de consignas automáticas (clima)</t>
  </si>
  <si>
    <t>Optimización automática de consignas para mejorar el comfort en tienda. (posible revisión en conjunto con la eficiencia energética en tienda)</t>
  </si>
  <si>
    <t>Optimización / Predictiva</t>
  </si>
  <si>
    <t>Media (ahorro)</t>
  </si>
  <si>
    <t>2.2 Reducción de emisiones SBT: −53% (alcances 1,2 y 3) en 2030 (con sub-metas: −95% en 1&amp;2, −51% en 3) y objetivo de cero emisiones netas en 2040.</t>
  </si>
  <si>
    <t>Energía: predicción de consumo tiendas (perfil ideal/probable)</t>
  </si>
  <si>
    <t>Forecast de consumo energético para planificación y detección de desvíos.</t>
  </si>
  <si>
    <t>Inergy, históricos de consumo, meteorología, calendario</t>
  </si>
  <si>
    <t>Alta (forecasting)</t>
  </si>
  <si>
    <t>Estacionalidad y eventos atípicos.</t>
  </si>
  <si>
    <t>Energía: alarmas por desviaciones de rendimiento</t>
  </si>
  <si>
    <t>Alertas inteligentes ante desviaciones de consumo y temperatura.</t>
  </si>
  <si>
    <t>Inergy, contratos y SLAs</t>
  </si>
  <si>
    <t>Media-Alta (prevención)</t>
  </si>
  <si>
    <t xml:space="preserve">Media-Alta </t>
  </si>
  <si>
    <t>Umbrales dinámicos y falsos positivos.</t>
  </si>
  <si>
    <t>Energía: Cálculo de la periódica de consumos</t>
  </si>
  <si>
    <t>Estimación de consumos no facturados para mejorar control y negociación.</t>
  </si>
  <si>
    <t>Inergy.</t>
  </si>
  <si>
    <t>Propiedad Industrial: soporte a consultas de diseño</t>
  </si>
  <si>
    <t>Búsqueda inteligente en repositorios de diseño mediante imágenes y texto.</t>
  </si>
  <si>
    <t>Propiedad Industrial</t>
  </si>
  <si>
    <t>Diseño Producto</t>
  </si>
  <si>
    <t>Generativa / Visión</t>
  </si>
  <si>
    <t>Repositorio imágenes, buscadores visuales</t>
  </si>
  <si>
    <t>Necesidad de fuentes confiables y revisión experta.</t>
  </si>
  <si>
    <t>3.2 Cadena de suministro socialmente responsable: asegurar condiciones de trabajo dignas en proveedores y fabricantes.</t>
  </si>
  <si>
    <t>IOP Contratos - extracción metadatos nuevos contratos</t>
  </si>
  <si>
    <t>Extracción automática de metadatos y agente de consulta contractual.</t>
  </si>
  <si>
    <t>Jurídico</t>
  </si>
  <si>
    <t>IOP Contratos</t>
  </si>
  <si>
    <t>Media (eficiencia legal)</t>
  </si>
  <si>
    <t>Confidencialidad de la información.</t>
  </si>
  <si>
    <t>Jesús Morillas + David Ipola</t>
  </si>
  <si>
    <t>Análisis de riesgos reputacionales asociados a nuestro producto</t>
  </si>
  <si>
    <t>Modelo que evalúa riesgo reputacional por mercado para decisiones preventivas.</t>
  </si>
  <si>
    <t>Asuntos Públicos</t>
  </si>
  <si>
    <t>Generativa / Optimización</t>
  </si>
  <si>
    <t>Respectfull.</t>
  </si>
  <si>
    <t>Coste – beneficio de la iniciativa habida cuenta de que el departamento de Asuntos Públicos ya cuenta con una herramienta menos desarrollada para realizar esta gestión..</t>
  </si>
  <si>
    <t>Nicolás Ballarín + Marian Ribas</t>
  </si>
  <si>
    <t>Chat GPT 4O visio</t>
  </si>
  <si>
    <t>Dockia: IA para el procesamiento de documentos</t>
  </si>
  <si>
    <t>Clasifica, extrae y valida datos de documentos financieros de forma automática, reduciendo tiempos y errores manuales.</t>
  </si>
  <si>
    <t>Tecnología (Financiero)</t>
  </si>
  <si>
    <t>Medio (eficiencia)</t>
  </si>
  <si>
    <t>Azure</t>
  </si>
  <si>
    <t>Confrontación</t>
  </si>
  <si>
    <t>Agente revisión código fraudulento</t>
  </si>
  <si>
    <t>IA que analiza código y reglas para detectar patrones de fraude, inconsistencias o vulnerabilidades en procesos financieros.</t>
  </si>
  <si>
    <t>Auditoría Interna</t>
  </si>
  <si>
    <t>Medio (prevención)</t>
  </si>
  <si>
    <t>Plataforma</t>
  </si>
  <si>
    <t>Agente revisión accesos Firefighter</t>
  </si>
  <si>
    <t>Supervisión inteligente de accesos críticos Firefighter, identificando usos indebidos y riesgos de segregación de funciones.</t>
  </si>
  <si>
    <t>Automatización OCR RICOH</t>
  </si>
  <si>
    <t>Digitalización y lectura inteligente de documentos escaneados con OCR, integrando datos estructurados en sistemas internos.</t>
  </si>
  <si>
    <t>Media-Alta (ahorro)</t>
  </si>
  <si>
    <t>Invoice Collector</t>
  </si>
  <si>
    <t>Power Automate</t>
  </si>
  <si>
    <t>Control de importes en el canal del proveedor</t>
  </si>
  <si>
    <t>Motor de validación automática de importes facturados, detectando desviaciones frente a pedidos, contratos o tarifas acordadas.</t>
  </si>
  <si>
    <t>Validación Excel Cobertura Transporte SAP TM</t>
  </si>
  <si>
    <t>IA que revisa y valida cálculos de cobertura en Excel frente a datos de SAP TM, asegurando coherencia y trazabilidad.</t>
  </si>
  <si>
    <t>Transportes</t>
  </si>
  <si>
    <t>IOP Contratos - consulta masiva de clausulados</t>
  </si>
  <si>
    <t>Búsqueda inteligente y análisis masivo de cláusulas contractuales para localizar riesgos, obligaciones o condiciones específicas.</t>
  </si>
  <si>
    <t>Contraste de SAP RE</t>
  </si>
  <si>
    <t>Validación automática de datos en SAP RE, detectando inconsistencias entre contratos, condiciones económicas y registros contables.</t>
  </si>
  <si>
    <t>Extracción de metadatos para volcado en SAP RE</t>
  </si>
  <si>
    <t>Extracción automática de metadatos clave de contratos para su carga estructurada y controlada en SAP RE.</t>
  </si>
  <si>
    <t>Checklist de borradores contractuales</t>
  </si>
  <si>
    <t>Asistente IA que revisa borradores contractuales contra checklist normativo y de riesgos, señalando omisiones o desviaciones.</t>
  </si>
  <si>
    <t>Consulta masiva de contratos - Multicontract</t>
  </si>
  <si>
    <t>Motor de búsqueda y análisis masivo en repositorio Multicontract para responder consultas jurídicas y financieras complejas.</t>
  </si>
  <si>
    <t>Mantenimiento y backtesting automático Apps IA</t>
  </si>
  <si>
    <t>Sistema automatizado de monitorización, mantenimiento y backtesting de modelos IA para garantizar precisión y rendimiento continuo.</t>
  </si>
  <si>
    <t>Gestión de disputas tarjetas de crédito (adquirentes)</t>
  </si>
  <si>
    <t>Clasificación y análisis automático de disputas con adquirentes, priorizando casos y proponiendo acciones basadas en históricos.</t>
  </si>
  <si>
    <t>Adquirencia</t>
  </si>
  <si>
    <t>Medio (ahorro)</t>
  </si>
  <si>
    <t>Energía: Control de la temperatura base del agua en tienda</t>
  </si>
  <si>
    <t>Pdesviacion en temperatura contratada y horarios de servicio (si arrancas maquinas sin agua tiene que ir un tecnico a volver a encenderlas)</t>
  </si>
  <si>
    <t>SCII/F: agente automatización controles</t>
  </si>
  <si>
    <t>Checklist de borradores - mejoras de usuario</t>
  </si>
  <si>
    <t>Incorporación de nuevo modelo de cuestiones y mejoras en el tratamiento particularizado de países</t>
  </si>
  <si>
    <t>Migración de informes de DB2 a Snowflake</t>
  </si>
  <si>
    <t>Aduanas - cotejo automatizado ATR</t>
  </si>
  <si>
    <t>Asignación automatizada de eco-tasas</t>
  </si>
  <si>
    <t>Categorización de referencias, en base a composición y tipología, en las categorías de tasas definidas por Re_fashion</t>
  </si>
  <si>
    <t>Sostenibilidad</t>
  </si>
  <si>
    <t>Declaraciones RAP</t>
  </si>
  <si>
    <t>Maestro de referencias y categorización del país</t>
  </si>
  <si>
    <t>Jesús Morillas + Marian Ribas (apoyo Servando López y Marta Plaza)</t>
  </si>
  <si>
    <t>Chat GPT 4.1 + Claude + Gemini + Grok</t>
  </si>
  <si>
    <t>Asistente al desarrollo de BI (iCorporate)</t>
  </si>
  <si>
    <t>Control sobre las cateogorías vs roles definidos (Heimdal)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</si>
</sst>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top"/>
    </xf>
    <xf numFmtId="0" fontId="0" fillId="2" borderId="0" xfId="0" applyFill="1"/>
    <xf numFmtId="16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0" borderId="2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vertical="center"/>
    </xf>
    <xf numFmtId="6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49" fontId="0" fillId="3" borderId="0" xfId="0" applyNumberFormat="1" applyFill="1" applyAlignment="1">
      <alignment vertical="center"/>
    </xf>
    <xf numFmtId="0" fontId="4" fillId="4" borderId="4" xfId="0" applyFont="1" applyFill="1" applyBorder="1" applyAlignment="1">
      <alignment horizontal="center"/>
    </xf>
    <xf numFmtId="9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2" borderId="0" xfId="0" applyNumberFormat="1" applyFill="1"/>
    <xf numFmtId="14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69"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numFmt numFmtId="19" formatCode="dd/mm/yyyy"/>
      <alignment horizontal="right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10" formatCode="#,##0\ &quot;€&quot;;[Red]\-#,##0\ &quot;€&quot;"/>
      <alignment horizontal="general" vertical="center" textRotation="0" indent="0" justifyLastLine="0" shrinkToFit="0" readingOrder="0"/>
    </dxf>
    <dxf>
      <numFmt numFmtId="10" formatCode="#,##0\ &quot;€&quot;;[Red]\-#,##0\ &quot;€&quot;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10" formatCode="#,##0\ &quot;€&quot;;[Red]\-#,##0\ &quot;€&quot;"/>
      <alignment horizontal="general" vertical="center" textRotation="0" indent="0" justifyLastLine="0" shrinkToFit="0" readingOrder="0"/>
    </dxf>
    <dxf>
      <numFmt numFmtId="10" formatCode="#,##0\ &quot;€&quot;;[Red]\-#,##0\ &quot;€&quot;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iciativasIA" displayName="IniciativasIA" ref="A2:BP59" totalsRowShown="0" dataDxfId="68">
  <autoFilter ref="A2:BP59" xr:uid="{00000000-000C-0000-FFFF-FFFF00000000}"/>
  <tableColumns count="68">
    <tableColumn id="1" xr3:uid="{00000000-0010-0000-0000-000001000000}" name="Id" dataDxfId="6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Descripción resumida de la iniciativa" dataDxfId="66">
      <extLst>
        <ext xmlns:xlmsforms="http://schemas.microsoft.com/office/spreadsheetml/2023/msForms" uri="{FCC71383-01E1-4257-9335-427F07BE8D7F}">
          <xlmsforms:question id="startDate"/>
        </ext>
      </extLst>
    </tableColumn>
    <tableColumn id="35" xr3:uid="{86650923-619B-4161-BC1F-9264CABE2B46}" name="Descripción ejecutiva" dataDxfId="65"/>
    <tableColumn id="3" xr3:uid="{00000000-0010-0000-0000-000003000000}" name="Departamento" dataDxfId="64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Proceso impactado" dataDxfId="63">
      <extLst>
        <ext xmlns:xlmsforms="http://schemas.microsoft.com/office/spreadsheetml/2023/msForms" uri="{FCC71383-01E1-4257-9335-427F07BE8D7F}">
          <xlmsforms:question id="responder"/>
        </ext>
      </extLst>
    </tableColumn>
    <tableColumn id="33" xr3:uid="{1C34F94D-9B37-4FE1-918A-022E65FE07EB}" name="Clasificacion Proceso" dataDxfId="62"/>
    <tableColumn id="5" xr3:uid="{00000000-0010-0000-0000-000005000000}" name="Volumen del proceso (M€)" dataDxfId="6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0" xr3:uid="{2EDC74C0-18EA-442A-A5E7-CCC430A3B60E}" name="Criticidad Proceso" dataDxfId="60"/>
    <tableColumn id="6" xr3:uid="{00000000-0010-0000-0000-000006000000}" name="Tipo IA" dataDxfId="59">
      <extLst>
        <ext xmlns:xlmsforms="http://schemas.microsoft.com/office/spreadsheetml/2023/msForms" uri="{FCC71383-01E1-4257-9335-427F07BE8D7F}">
          <xlmsforms:question id="r831a6d4c71de4d3f9f3431a90e5cdb81"/>
        </ext>
      </extLst>
    </tableColumn>
    <tableColumn id="7" xr3:uid="{00000000-0010-0000-0000-000007000000}" name="Dominio funcional de IA" dataDxfId="58">
      <extLst>
        <ext xmlns:xlmsforms="http://schemas.microsoft.com/office/spreadsheetml/2023/msForms" uri="{FCC71383-01E1-4257-9335-427F07BE8D7F}">
          <xlmsforms:question id="r9671d45533474b3d8fa750364083a34f"/>
        </ext>
      </extLst>
    </tableColumn>
    <tableColumn id="50" xr3:uid="{214A4BF5-BEE0-46CC-AF6A-D2BA63894E6F}" name="Procesamiento de documentos / Visión" dataDxfId="57"/>
    <tableColumn id="51" xr3:uid="{7006AC79-6D18-4385-8C20-ABAEDF227079}" name="IA Generativa / Conversacional" dataDxfId="56"/>
    <tableColumn id="52" xr3:uid="{3D174A8A-0CE7-45AA-BD04-88E222DD70AB}" name="Analítica / Diagnóstica / Recomendación" dataDxfId="55"/>
    <tableColumn id="54" xr3:uid="{5DC827F6-662C-457E-9271-DF2894A2B879}" name="Predictiva / Forecasting" dataDxfId="54"/>
    <tableColumn id="10" xr3:uid="{4949306E-2D90-4A69-948D-80457E5FBDCD}" name="Modelo / Proveedor de IA" dataDxfId="53"/>
    <tableColumn id="9" xr3:uid="{378CD80F-2700-4856-97A2-D0D53C54CA24}" name="Viabilidad" dataDxfId="52"/>
    <tableColumn id="53" xr3:uid="{F87748DF-DCDA-46A1-91F5-90BAA8E134F5}" name="Socre Viabilidad" dataDxfId="51">
      <calculatedColumnFormula>IF(IniciativasIA[[#This Row],[Viabilidad]]="Alta",3,IF(IniciativasIA[[#This Row],[Viabilidad]]="Media",2,1))</calculatedColumnFormula>
    </tableColumn>
    <tableColumn id="36" xr3:uid="{EAB440EB-CE2F-4A3E-8CA4-5759EF1EAF1D}" name="Datos Requeridos" dataDxfId="50"/>
    <tableColumn id="11" xr3:uid="{4D4EC9FD-9DDA-4A56-8473-5AB9B28CF54E}" name="Disponibilidad de datos" dataDxfId="49"/>
    <tableColumn id="58" xr3:uid="{86D58390-2353-4872-8963-3B03A39F75D3}" name="Madurez Funcional" dataDxfId="48"/>
    <tableColumn id="24" xr3:uid="{4AFED2DA-4335-4F9C-A6E6-D14CA141C2B6}" name="Time to value" dataDxfId="47"/>
    <tableColumn id="25" xr3:uid="{72B9BA0A-E212-4E3D-8145-D2D500A79CC6}" name="Complejidad" dataDxfId="46"/>
    <tableColumn id="61" xr3:uid="{FC197BD0-AC0D-48D6-B18B-49130C0C5C30}" name="Score Complejidad" dataDxfId="45">
      <calculatedColumnFormula>IF(IniciativasIA[[#This Row],[Complejidad]]="Alta",3,IF(IniciativasIA[[#This Row],[Complejidad]]="Media",2,1))</calculatedColumnFormula>
    </tableColumn>
    <tableColumn id="26" xr3:uid="{54E79235-A61C-4B39-A308-FD6733D8B694}" name="Complejidad técnica (esfuerzo)" dataDxfId="44"/>
    <tableColumn id="27" xr3:uid="{2468E7E0-750F-411B-BC38-484EECDDCE52}" name="Complejidad organizativa" dataDxfId="43"/>
    <tableColumn id="12" xr3:uid="{BE28C8A0-5DEE-4E5B-8EC7-1D9170193A8B}" name="Retorno esperado" dataDxfId="42"/>
    <tableColumn id="14" xr3:uid="{473DC127-1486-4935-814C-2682B3AE0056}" name="Tipo de Retorno" dataDxfId="41"/>
    <tableColumn id="13" xr3:uid="{C7372226-F7FD-4F51-955E-DC596555327A}" name="Impacto en negocio " dataDxfId="40"/>
    <tableColumn id="23" xr3:uid="{0CC4DC16-9CD9-4357-911E-186C21A03DC8}" name="Ahorro estimado (€ / año)" dataDxfId="39"/>
    <tableColumn id="59" xr3:uid="{BC389CC5-2712-41BA-928B-0B3B0AD6E1E0}" name="Usuarios Impactados" dataDxfId="38"/>
    <tableColumn id="28" xr3:uid="{EEF40914-13F7-44B8-B901-EB8C62A2FDC4}" name="Prioridad sugerida" dataDxfId="37"/>
    <tableColumn id="16" xr3:uid="{EE5247C8-90F1-4626-8036-15AABDDEF9AB}" name="ROI Business Case" dataDxfId="36"/>
    <tableColumn id="17" xr3:uid="{90584F8D-2DB1-4B02-A90D-7736FAB656B4}" name="Viabilidad puntos" dataDxfId="35"/>
    <tableColumn id="18" xr3:uid="{88BBAA2D-C166-4836-9971-53633A141767}" name="Reach" dataDxfId="34"/>
    <tableColumn id="19" xr3:uid="{11853876-CE3C-4FFF-91B4-2B6F30E51704}" name="Impact" dataDxfId="33"/>
    <tableColumn id="20" xr3:uid="{1E1EF1BD-BECC-4E7C-875B-F2284A25E3C1}" name="Confidence" dataDxfId="32"/>
    <tableColumn id="21" xr3:uid="{D29591ED-FC52-497E-8722-7616DCD27F8C}" name="Effort" dataDxfId="31"/>
    <tableColumn id="22" xr3:uid="{322222BF-1E91-407F-BB28-D3258A5A5632}" name="AI Complexity" dataDxfId="30"/>
    <tableColumn id="31" xr3:uid="{36E883F4-0D6F-4F62-9F19-0E45EB49EFB2}" name="RIC" dataDxfId="29">
      <calculatedColumnFormula>IFERROR((IniciativasIA[[#This Row],[Reach]]*IniciativasIA[[#This Row],[Impact]]*IniciativasIA[[#This Row],[Confidence]])/(IniciativasIA[[#This Row],[Effort]]*IniciativasIA[[#This Row],[AI Complexity]]/2),)</calculatedColumnFormula>
    </tableColumn>
    <tableColumn id="62" xr3:uid="{CE78F48A-B133-4429-9A0A-2D7DB4D618B6}" name="TIER" dataDxfId="28">
      <calculatedColumnFormula>(RANK(IniciativasIA[[#This Row],[RIC]],IniciativasIA[RIC],1)-1) / (COUNT(IniciativasIA[RIC])-1)</calculatedColumnFormula>
    </tableColumn>
    <tableColumn id="29" xr3:uid="{D7D1BA82-19B4-4D00-AB21-C05497AEB59C}" name="Principales riesgos" dataDxfId="27"/>
    <tableColumn id="30" xr3:uid="{BE423F33-1434-4229-B742-FD05586EC0CB}" name="Impacto en compliance" dataDxfId="26"/>
    <tableColumn id="15" xr3:uid="{9BC6796A-FCE6-4E77-8815-0C6F2D34A352}" name="Objetivo estratégico" dataDxfId="25"/>
    <tableColumn id="8" xr3:uid="{38A2F3B4-E801-43CD-969C-702D402501DB}" name="__PowerAppsId__" dataDxfId="24"/>
    <tableColumn id="55" xr3:uid="{8ADA9805-7CD3-4A98-81AC-E460A5134778}" name="Fecha Registro" dataDxfId="23"/>
    <tableColumn id="38" xr3:uid="{DF1D90EC-D00D-460F-A1E7-DC2E34D15F93}" name="Inicio" dataDxfId="22"/>
    <tableColumn id="41" xr3:uid="{312841D4-F989-471F-A78B-9C0B3E20F332}" name="Análisis" dataDxfId="21"/>
    <tableColumn id="42" xr3:uid="{5C8CD545-FE59-498A-9569-D060C6FA3456}" name="Priorización" dataDxfId="20"/>
    <tableColumn id="43" xr3:uid="{C240DE5A-022F-42EF-964F-23D606B67579}" name="Piloto" dataDxfId="19"/>
    <tableColumn id="44" xr3:uid="{83817BCA-C1B8-4845-B640-B5AA8217E288}" name="Diseño" dataDxfId="18"/>
    <tableColumn id="45" xr3:uid="{21205441-DE73-4AF5-8D70-7A5F0F3E9313}" name="Iteración / Pruebas" dataDxfId="17"/>
    <tableColumn id="46" xr3:uid="{5179413C-3128-4BFD-A491-1CE708839406}" name="Mantenimiento" dataDxfId="16"/>
    <tableColumn id="40" xr3:uid="{5F5BE22F-AD3D-4515-A70A-73AABE537A63}" name="Equipo IA Asignado" dataDxfId="15"/>
    <tableColumn id="37" xr3:uid="{A3F671DB-C740-4114-8D5D-F21DAF3E6AFD}" name="Responsable" dataDxfId="14"/>
    <tableColumn id="48" xr3:uid="{25345828-AEB6-4A74-8F70-119572FBAB62}" name="Estado Iniciativa" dataDxfId="13">
      <calculatedColumnFormula array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calculatedColumnFormula>
    </tableColumn>
    <tableColumn id="49" xr3:uid="{9261F127-9FBF-446C-BBE7-135DC82DCB44}" name="Fin Estimado" dataDxfId="12">
      <calculatedColumnFormula array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calculatedColumnFormula>
    </tableColumn>
    <tableColumn id="63" xr3:uid="{2D6C684E-C8F7-4585-9EA4-417B49A31BA4}" name="Alerta" dataDxfId="11"/>
    <tableColumn id="32" xr3:uid="{878B12FE-9B0C-404D-B28E-0C48F712661B}" name="BBDD" dataDxfId="10"/>
    <tableColumn id="57" xr3:uid="{BE506D72-0BFB-4448-9699-07E5429F375A}" name="OCR" dataDxfId="9"/>
    <tableColumn id="34" xr3:uid="{520C0425-5DC1-49FD-9DAC-4A19E30D4A43}" name="Cluster Comp" dataDxfId="8"/>
    <tableColumn id="39" xr3:uid="{EE503E62-1730-4DB7-AC88-DCD6644D063F}" name="API" dataDxfId="7"/>
    <tableColumn id="64" xr3:uid="{D33AE6D3-FDDA-46A8-8F8C-60B65236B8BB}" name="Back End" dataDxfId="6"/>
    <tableColumn id="47" xr3:uid="{C8676240-7272-4505-98B7-0D2EE85EC219}" name="Modelo IA" dataDxfId="5"/>
    <tableColumn id="65" xr3:uid="{BBFE9FB5-12A8-4746-87E1-AEDBDF573E45}" name="MCP" dataDxfId="4"/>
    <tableColumn id="66" xr3:uid="{963B523B-AE2E-4DD0-BD0E-FFBB81575C34}" name="RAG" dataDxfId="3"/>
    <tableColumn id="67" xr3:uid="{590CC5A1-AD08-4C28-82EF-BBDF233114FD}" name="Prompting" dataDxfId="2"/>
    <tableColumn id="56" xr3:uid="{33E32262-F990-41F3-9277-EBD5B09923BE}" name="Front End" dataDxfId="1"/>
    <tableColumn id="68" xr3:uid="{0EB467D5-1B9E-4C6F-8582-0CF512C7C0EF}" name="Link DevHub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tr3oyHyO1UG8QTf_88M7ddJ-8UKEVFtLgaRYeeio8x1URjEwTTcyRDA4TVRZWThSMUQ4OU5OODJLMyQlQCN0PWcu" isFormConnected="1" maxResponseId="5" latestEventMarker="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r831a6d4c71de4d3f9f3431a90e5cdb81</xlmsforms:syncedQuestionId>
        <xlmsforms:syncedQuestionId>r9671d45533474b3d8fa750364083a34f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59"/>
  <sheetViews>
    <sheetView tabSelected="1" zoomScale="89" zoomScaleNormal="100" workbookViewId="0">
      <pane xSplit="2" ySplit="2" topLeftCell="BE3" activePane="bottomRight" state="frozen"/>
      <selection pane="topRight" activeCell="C1" sqref="C1"/>
      <selection pane="bottomLeft" activeCell="A3" sqref="A3"/>
      <selection pane="bottomRight" activeCell="BO6" sqref="BO6"/>
    </sheetView>
  </sheetViews>
  <sheetFormatPr baseColWidth="10" defaultColWidth="8.7265625" defaultRowHeight="14.5" outlineLevelCol="1" x14ac:dyDescent="0.35"/>
  <cols>
    <col min="1" max="1" width="5.1796875" bestFit="1" customWidth="1"/>
    <col min="2" max="2" width="62.54296875" bestFit="1" customWidth="1"/>
    <col min="3" max="3" width="130.453125" hidden="1" customWidth="1" outlineLevel="1"/>
    <col min="4" max="4" width="21.81640625" bestFit="1" customWidth="1" collapsed="1"/>
    <col min="5" max="5" width="23.81640625" customWidth="1"/>
    <col min="6" max="6" width="24.1796875" hidden="1" customWidth="1" outlineLevel="1"/>
    <col min="7" max="7" width="29" hidden="1" customWidth="1" outlineLevel="1"/>
    <col min="8" max="8" width="21.54296875" hidden="1" customWidth="1" outlineLevel="1"/>
    <col min="9" max="9" width="22.7265625" hidden="1" customWidth="1" outlineLevel="1"/>
    <col min="10" max="10" width="34.54296875" bestFit="1" customWidth="1" collapsed="1"/>
    <col min="11" max="11" width="37.1796875" hidden="1" customWidth="1" outlineLevel="1"/>
    <col min="12" max="12" width="30" hidden="1" customWidth="1" outlineLevel="1"/>
    <col min="13" max="13" width="38.26953125" hidden="1" customWidth="1" outlineLevel="1"/>
    <col min="14" max="14" width="23.81640625" hidden="1" customWidth="1" outlineLevel="1"/>
    <col min="15" max="15" width="33.453125" hidden="1" customWidth="1" outlineLevel="1"/>
    <col min="16" max="16" width="14.7265625" bestFit="1" customWidth="1" collapsed="1"/>
    <col min="17" max="17" width="20.26953125" hidden="1" customWidth="1" outlineLevel="1"/>
    <col min="18" max="18" width="61.26953125" hidden="1" customWidth="1" outlineLevel="1"/>
    <col min="19" max="19" width="26.26953125" hidden="1" customWidth="1" outlineLevel="1"/>
    <col min="20" max="20" width="22.54296875" hidden="1" customWidth="1" outlineLevel="1"/>
    <col min="21" max="21" width="17.7265625" hidden="1" customWidth="1" outlineLevel="1"/>
    <col min="22" max="22" width="16.81640625" bestFit="1" customWidth="1" collapsed="1"/>
    <col min="23" max="23" width="16.81640625" hidden="1" customWidth="1" outlineLevel="1"/>
    <col min="24" max="24" width="32.7265625" hidden="1" customWidth="1" outlineLevel="1"/>
    <col min="25" max="25" width="27.81640625" hidden="1" customWidth="1" outlineLevel="1"/>
    <col min="26" max="26" width="24.54296875" bestFit="1" customWidth="1" collapsed="1"/>
    <col min="27" max="27" width="19.81640625" bestFit="1" customWidth="1"/>
    <col min="28" max="28" width="23.26953125" hidden="1" customWidth="1" outlineLevel="1"/>
    <col min="29" max="30" width="28.453125" hidden="1" customWidth="1" outlineLevel="1"/>
    <col min="31" max="31" width="23.81640625" customWidth="1" collapsed="1"/>
    <col min="32" max="32" width="21.81640625" hidden="1" customWidth="1" outlineLevel="1"/>
    <col min="33" max="33" width="21.7265625" hidden="1" customWidth="1" outlineLevel="1"/>
    <col min="34" max="34" width="21.1796875" hidden="1" customWidth="1" outlineLevel="1"/>
    <col min="35" max="35" width="9.81640625" hidden="1" customWidth="1" outlineLevel="1"/>
    <col min="36" max="36" width="13.54296875" hidden="1" customWidth="1" outlineLevel="1"/>
    <col min="37" max="37" width="8.54296875" hidden="1" customWidth="1" outlineLevel="1"/>
    <col min="38" max="38" width="15.54296875" hidden="1" customWidth="1" outlineLevel="1"/>
    <col min="39" max="40" width="15.453125" hidden="1" customWidth="1" outlineLevel="1"/>
    <col min="41" max="42" width="24.453125" hidden="1" customWidth="1" outlineLevel="1"/>
    <col min="43" max="43" width="25.81640625" hidden="1" customWidth="1" outlineLevel="1"/>
    <col min="44" max="44" width="17.1796875" hidden="1" customWidth="1" outlineLevel="1"/>
    <col min="45" max="45" width="16.1796875" bestFit="1" customWidth="1" collapsed="1"/>
    <col min="46" max="47" width="11" bestFit="1" customWidth="1"/>
    <col min="48" max="48" width="12.81640625" bestFit="1" customWidth="1"/>
    <col min="49" max="50" width="11" bestFit="1" customWidth="1"/>
    <col min="51" max="51" width="19.1796875" bestFit="1" customWidth="1"/>
    <col min="52" max="52" width="16.1796875" bestFit="1" customWidth="1"/>
    <col min="53" max="53" width="20.1796875" bestFit="1" customWidth="1"/>
    <col min="54" max="55" width="20" customWidth="1"/>
    <col min="56" max="57" width="17.453125" customWidth="1"/>
    <col min="58" max="62" width="15.26953125" customWidth="1"/>
    <col min="63" max="63" width="23.54296875" customWidth="1" collapsed="1"/>
    <col min="64" max="66" width="23.54296875" hidden="1" customWidth="1" outlineLevel="1"/>
    <col min="67" max="67" width="11.453125" customWidth="1" collapsed="1"/>
    <col min="68" max="68" width="11.7265625" hidden="1" customWidth="1" outlineLevel="1"/>
    <col min="69" max="69" width="16.7265625" customWidth="1" collapsed="1"/>
    <col min="70" max="70" width="19.1796875" customWidth="1"/>
    <col min="71" max="71" width="14" customWidth="1"/>
    <col min="72" max="72" width="19.26953125" bestFit="1" customWidth="1"/>
    <col min="73" max="73" width="18" bestFit="1" customWidth="1"/>
    <col min="74" max="74" width="15.54296875" bestFit="1" customWidth="1"/>
    <col min="78" max="78" width="17.1796875" bestFit="1" customWidth="1"/>
  </cols>
  <sheetData>
    <row r="1" spans="1:127" x14ac:dyDescent="0.35">
      <c r="A1" s="8"/>
      <c r="B1" s="8"/>
      <c r="C1" s="8"/>
      <c r="D1" s="8"/>
      <c r="E1" s="24" t="s">
        <v>0</v>
      </c>
      <c r="F1" s="24"/>
      <c r="G1" s="24"/>
      <c r="H1" s="24"/>
      <c r="I1" s="24" t="s">
        <v>1</v>
      </c>
      <c r="J1" s="24"/>
      <c r="K1" s="24"/>
      <c r="L1" s="24"/>
      <c r="M1" s="24"/>
      <c r="N1" s="24"/>
      <c r="O1" s="8"/>
      <c r="P1" s="24" t="s">
        <v>2</v>
      </c>
      <c r="Q1" s="24"/>
      <c r="R1" s="24"/>
      <c r="S1" s="24"/>
      <c r="T1" s="24"/>
      <c r="U1" s="24"/>
      <c r="V1" s="21" t="s">
        <v>3</v>
      </c>
      <c r="W1" s="22"/>
      <c r="X1" s="22"/>
      <c r="Y1" s="23"/>
      <c r="Z1" s="21" t="s">
        <v>4</v>
      </c>
      <c r="AA1" s="22"/>
      <c r="AB1" s="22"/>
      <c r="AC1" s="22"/>
      <c r="AD1" s="23"/>
      <c r="AE1" s="21" t="s">
        <v>5</v>
      </c>
      <c r="AF1" s="22"/>
      <c r="AG1" s="22"/>
      <c r="AH1" s="22"/>
      <c r="AI1" s="22"/>
      <c r="AJ1" s="22"/>
      <c r="AK1" s="22"/>
      <c r="AL1" s="22"/>
      <c r="AM1" s="23"/>
      <c r="AN1" s="15"/>
      <c r="AO1" s="21" t="s">
        <v>6</v>
      </c>
      <c r="AP1" s="22"/>
      <c r="AQ1" s="22"/>
      <c r="AR1" s="22"/>
      <c r="AS1" s="23"/>
      <c r="AT1" s="21" t="s">
        <v>7</v>
      </c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3"/>
      <c r="BF1" s="21" t="s">
        <v>8</v>
      </c>
      <c r="BG1" s="22"/>
      <c r="BH1" s="22"/>
      <c r="BI1" s="22"/>
      <c r="BJ1" s="22"/>
      <c r="BK1" s="22"/>
      <c r="BL1" s="22"/>
      <c r="BM1" s="22"/>
      <c r="BN1" s="22"/>
      <c r="BO1" s="22"/>
      <c r="BP1" s="23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</row>
    <row r="2" spans="1:127" x14ac:dyDescent="0.35">
      <c r="A2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7" t="s">
        <v>15</v>
      </c>
      <c r="H2" s="7" t="s">
        <v>16</v>
      </c>
      <c r="I2" s="6" t="s">
        <v>17</v>
      </c>
      <c r="J2" s="6" t="s">
        <v>18</v>
      </c>
      <c r="K2" t="s">
        <v>19</v>
      </c>
      <c r="L2" t="s">
        <v>20</v>
      </c>
      <c r="M2" t="s">
        <v>21</v>
      </c>
      <c r="N2" t="s">
        <v>22</v>
      </c>
      <c r="O2" s="6" t="s">
        <v>23</v>
      </c>
      <c r="P2" s="6" t="s">
        <v>24</v>
      </c>
      <c r="Q2" s="7" t="s">
        <v>25</v>
      </c>
      <c r="R2" s="6" t="s">
        <v>26</v>
      </c>
      <c r="S2" s="6" t="s">
        <v>27</v>
      </c>
      <c r="T2" s="6" t="s">
        <v>28</v>
      </c>
      <c r="U2" s="6" t="s">
        <v>29</v>
      </c>
      <c r="V2" s="6" t="s">
        <v>30</v>
      </c>
      <c r="W2" s="7" t="s">
        <v>31</v>
      </c>
      <c r="X2" s="6" t="s">
        <v>32</v>
      </c>
      <c r="Y2" s="6" t="s">
        <v>33</v>
      </c>
      <c r="Z2" s="6" t="s">
        <v>34</v>
      </c>
      <c r="AA2" s="6" t="s">
        <v>35</v>
      </c>
      <c r="AB2" s="6" t="s">
        <v>36</v>
      </c>
      <c r="AC2" s="6" t="s">
        <v>37</v>
      </c>
      <c r="AD2" s="6" t="s">
        <v>38</v>
      </c>
      <c r="AE2" s="7" t="s">
        <v>39</v>
      </c>
      <c r="AF2" s="2" t="s">
        <v>40</v>
      </c>
      <c r="AG2" s="2" t="s">
        <v>41</v>
      </c>
      <c r="AH2" s="3" t="s">
        <v>42</v>
      </c>
      <c r="AI2" s="3" t="s">
        <v>43</v>
      </c>
      <c r="AJ2" s="3" t="s">
        <v>44</v>
      </c>
      <c r="AK2" s="3" t="s">
        <v>45</v>
      </c>
      <c r="AL2" s="3" t="s">
        <v>46</v>
      </c>
      <c r="AM2" s="3" t="s">
        <v>47</v>
      </c>
      <c r="AN2" s="3" t="s">
        <v>48</v>
      </c>
      <c r="AO2" s="6" t="s">
        <v>49</v>
      </c>
      <c r="AP2" s="6" t="s">
        <v>50</v>
      </c>
      <c r="AQ2" s="6" t="s">
        <v>51</v>
      </c>
      <c r="AR2" t="s">
        <v>52</v>
      </c>
      <c r="AS2" t="s">
        <v>53</v>
      </c>
      <c r="AT2" t="s">
        <v>54</v>
      </c>
      <c r="AU2" t="s">
        <v>55</v>
      </c>
      <c r="AV2" t="s">
        <v>56</v>
      </c>
      <c r="AW2" t="s">
        <v>57</v>
      </c>
      <c r="AX2" t="s">
        <v>58</v>
      </c>
      <c r="AY2" t="s">
        <v>59</v>
      </c>
      <c r="AZ2" t="s">
        <v>60</v>
      </c>
      <c r="BA2" t="s">
        <v>61</v>
      </c>
      <c r="BB2" t="s">
        <v>62</v>
      </c>
      <c r="BC2" s="3" t="s">
        <v>63</v>
      </c>
      <c r="BD2" s="18" t="s">
        <v>64</v>
      </c>
      <c r="BE2" s="18" t="s">
        <v>65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  <c r="BK2" t="s">
        <v>71</v>
      </c>
      <c r="BL2" t="s">
        <v>72</v>
      </c>
      <c r="BM2" t="s">
        <v>73</v>
      </c>
      <c r="BN2" t="s">
        <v>74</v>
      </c>
      <c r="BO2" t="s">
        <v>75</v>
      </c>
      <c r="BP2" t="s">
        <v>76</v>
      </c>
    </row>
    <row r="3" spans="1:127" x14ac:dyDescent="0.35">
      <c r="A3" s="9">
        <v>1</v>
      </c>
      <c r="B3" s="9" t="s">
        <v>77</v>
      </c>
      <c r="C3" s="9" t="s">
        <v>78</v>
      </c>
      <c r="D3" s="9" t="s">
        <v>79</v>
      </c>
      <c r="E3" s="9" t="s">
        <v>80</v>
      </c>
      <c r="F3" s="9" t="s">
        <v>81</v>
      </c>
      <c r="G3" s="10">
        <v>600</v>
      </c>
      <c r="H3" s="10"/>
      <c r="I3" s="9" t="s">
        <v>82</v>
      </c>
      <c r="J3" s="9" t="s">
        <v>19</v>
      </c>
      <c r="K3" s="11" t="s">
        <v>83</v>
      </c>
      <c r="L3" s="11"/>
      <c r="M3" s="11"/>
      <c r="N3" s="11"/>
      <c r="O3" s="9" t="s">
        <v>84</v>
      </c>
      <c r="P3" s="9" t="s">
        <v>85</v>
      </c>
      <c r="Q3" s="9">
        <f>IF(IniciativasIA[[#This Row],[Viabilidad]]="Alta",3,IF(IniciativasIA[[#This Row],[Viabilidad]]="Media",2,1))</f>
        <v>3</v>
      </c>
      <c r="R3" s="9" t="s">
        <v>86</v>
      </c>
      <c r="S3" s="9" t="s">
        <v>87</v>
      </c>
      <c r="T3" s="9"/>
      <c r="U3" s="9" t="s">
        <v>88</v>
      </c>
      <c r="V3" s="9" t="s">
        <v>89</v>
      </c>
      <c r="W3" s="9">
        <f>IF(IniciativasIA[[#This Row],[Complejidad]]="Alta",3,IF(IniciativasIA[[#This Row],[Complejidad]]="Media",2,1))</f>
        <v>2</v>
      </c>
      <c r="X3" s="9" t="s">
        <v>90</v>
      </c>
      <c r="Y3" s="9" t="s">
        <v>89</v>
      </c>
      <c r="Z3" s="9" t="s">
        <v>91</v>
      </c>
      <c r="AA3" s="9" t="s">
        <v>92</v>
      </c>
      <c r="AB3" s="9" t="s">
        <v>93</v>
      </c>
      <c r="AC3" s="10">
        <v>200000</v>
      </c>
      <c r="AD3" s="10" t="s">
        <v>94</v>
      </c>
      <c r="AE3" s="9" t="s">
        <v>85</v>
      </c>
      <c r="AF3" s="1">
        <v>7</v>
      </c>
      <c r="AG3" s="1">
        <v>7</v>
      </c>
      <c r="AH3" s="1">
        <v>6</v>
      </c>
      <c r="AI3" s="1">
        <v>8</v>
      </c>
      <c r="AJ3" s="1">
        <v>8</v>
      </c>
      <c r="AK3" s="1">
        <v>7</v>
      </c>
      <c r="AL3" s="1">
        <v>5</v>
      </c>
      <c r="AM3" s="4">
        <f>IFERROR((IniciativasIA[[#This Row],[Reach]]*IniciativasIA[[#This Row],[Impact]]*IniciativasIA[[#This Row],[Confidence]])/(IniciativasIA[[#This Row],[Effort]]*IniciativasIA[[#This Row],[AI Complexity]]/2),)</f>
        <v>21.942857142857143</v>
      </c>
      <c r="AN3" s="16">
        <f>(RANK(IniciativasIA[[#This Row],[RIC]],IniciativasIA[RIC],1)-1) / (COUNT(IniciativasIA[RIC])-1)</f>
        <v>0.6785714285714286</v>
      </c>
      <c r="AO3" s="9" t="s">
        <v>95</v>
      </c>
      <c r="AP3" s="9"/>
      <c r="AQ3" s="9" t="s">
        <v>96</v>
      </c>
      <c r="AR3" s="12" t="s">
        <v>97</v>
      </c>
      <c r="AS3" s="13">
        <v>46023</v>
      </c>
      <c r="AT3" s="13">
        <v>46032</v>
      </c>
      <c r="AU3" s="17">
        <v>46094</v>
      </c>
      <c r="AV3" s="17"/>
      <c r="AW3" s="17"/>
      <c r="AX3" s="17"/>
      <c r="AY3" s="17"/>
      <c r="AZ3" s="17"/>
      <c r="BA3" s="5"/>
      <c r="BB3" s="5"/>
      <c r="BC3" s="5" t="str" cm="1">
        <f t="array" aca="1" ref="BC3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Análisis</v>
      </c>
      <c r="BD3" s="19" cm="1">
        <f t="array" aca="1" ref="BD3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46094</v>
      </c>
      <c r="BE3" s="20"/>
      <c r="BF3" s="1"/>
      <c r="BG3" s="1"/>
      <c r="BH3" s="1"/>
      <c r="BI3" s="1"/>
      <c r="BJ3" s="1"/>
      <c r="BK3" s="1"/>
      <c r="BL3" s="1"/>
      <c r="BM3" s="1"/>
      <c r="BN3" s="1"/>
      <c r="BO3" s="1"/>
      <c r="BP3" s="5"/>
    </row>
    <row r="4" spans="1:127" x14ac:dyDescent="0.35">
      <c r="A4" s="9">
        <v>2</v>
      </c>
      <c r="B4" s="9" t="s">
        <v>98</v>
      </c>
      <c r="C4" s="9" t="s">
        <v>99</v>
      </c>
      <c r="D4" s="9" t="s">
        <v>79</v>
      </c>
      <c r="E4" s="9" t="s">
        <v>100</v>
      </c>
      <c r="F4" s="9" t="s">
        <v>81</v>
      </c>
      <c r="G4" s="10">
        <v>2000</v>
      </c>
      <c r="H4" s="10"/>
      <c r="I4" s="9" t="s">
        <v>101</v>
      </c>
      <c r="J4" s="9" t="s">
        <v>20</v>
      </c>
      <c r="K4" s="11"/>
      <c r="L4" s="11" t="s">
        <v>83</v>
      </c>
      <c r="M4" s="11" t="s">
        <v>83</v>
      </c>
      <c r="N4" s="11"/>
      <c r="O4" s="9" t="s">
        <v>84</v>
      </c>
      <c r="P4" s="9" t="s">
        <v>89</v>
      </c>
      <c r="Q4" s="9">
        <f>IF(IniciativasIA[[#This Row],[Viabilidad]]="Alta",3,IF(IniciativasIA[[#This Row],[Viabilidad]]="Media",2,1))</f>
        <v>2</v>
      </c>
      <c r="R4" s="9" t="s">
        <v>102</v>
      </c>
      <c r="S4" s="9" t="s">
        <v>87</v>
      </c>
      <c r="T4" s="9"/>
      <c r="U4" s="9" t="s">
        <v>103</v>
      </c>
      <c r="V4" s="9" t="s">
        <v>85</v>
      </c>
      <c r="W4" s="9">
        <f>IF(IniciativasIA[[#This Row],[Complejidad]]="Alta",3,IF(IniciativasIA[[#This Row],[Complejidad]]="Media",2,1))</f>
        <v>3</v>
      </c>
      <c r="X4" s="9" t="s">
        <v>104</v>
      </c>
      <c r="Y4" s="9" t="s">
        <v>89</v>
      </c>
      <c r="Z4" s="9" t="s">
        <v>105</v>
      </c>
      <c r="AA4" s="9" t="s">
        <v>106</v>
      </c>
      <c r="AB4" s="9" t="s">
        <v>93</v>
      </c>
      <c r="AC4" s="10">
        <v>200000</v>
      </c>
      <c r="AD4" s="10" t="s">
        <v>107</v>
      </c>
      <c r="AE4" s="9" t="s">
        <v>89</v>
      </c>
      <c r="AF4" s="1">
        <v>8.5</v>
      </c>
      <c r="AG4" s="1">
        <v>2</v>
      </c>
      <c r="AH4" s="1">
        <v>6</v>
      </c>
      <c r="AI4" s="1">
        <v>8</v>
      </c>
      <c r="AJ4" s="1">
        <v>4</v>
      </c>
      <c r="AK4" s="1">
        <v>3</v>
      </c>
      <c r="AL4" s="1">
        <v>8</v>
      </c>
      <c r="AM4" s="4">
        <f>IFERROR((IniciativasIA[[#This Row],[Reach]]*IniciativasIA[[#This Row],[Impact]]*IniciativasIA[[#This Row],[Confidence]])/(IniciativasIA[[#This Row],[Effort]]*IniciativasIA[[#This Row],[AI Complexity]]/2),)</f>
        <v>16</v>
      </c>
      <c r="AN4" s="16">
        <f>(RANK(IniciativasIA[[#This Row],[RIC]],IniciativasIA[RIC],1)-1) / (COUNT(IniciativasIA[RIC])-1)</f>
        <v>0.4642857142857143</v>
      </c>
      <c r="AO4" s="9" t="s">
        <v>108</v>
      </c>
      <c r="AP4" s="9" t="s">
        <v>109</v>
      </c>
      <c r="AQ4" s="9" t="s">
        <v>96</v>
      </c>
      <c r="AR4" s="12"/>
      <c r="AS4" s="13">
        <v>46023</v>
      </c>
      <c r="AT4" s="13">
        <v>46032</v>
      </c>
      <c r="AU4" s="17"/>
      <c r="AV4" s="17"/>
      <c r="AW4" s="17">
        <v>46073</v>
      </c>
      <c r="AX4" s="17">
        <v>46157</v>
      </c>
      <c r="AY4" s="17"/>
      <c r="AZ4" s="17"/>
      <c r="BA4" s="5" t="s">
        <v>110</v>
      </c>
      <c r="BB4" s="5" t="s">
        <v>111</v>
      </c>
      <c r="BC4" s="5" t="str" cm="1">
        <f t="array" aca="1" ref="BC4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Diseño</v>
      </c>
      <c r="BD4" s="19"/>
      <c r="BE4" s="20"/>
      <c r="BF4" s="1"/>
      <c r="BG4" s="1"/>
      <c r="BH4" s="1" t="s">
        <v>112</v>
      </c>
      <c r="BI4" s="1" t="s">
        <v>113</v>
      </c>
      <c r="BJ4" s="1" t="s">
        <v>114</v>
      </c>
      <c r="BK4" s="1" t="s">
        <v>115</v>
      </c>
      <c r="BL4" s="1"/>
      <c r="BM4" s="1"/>
      <c r="BN4" s="1"/>
      <c r="BO4" s="1" t="s">
        <v>116</v>
      </c>
      <c r="BP4" s="5"/>
    </row>
    <row r="5" spans="1:127" x14ac:dyDescent="0.35">
      <c r="A5" s="9">
        <v>3</v>
      </c>
      <c r="B5" s="9" t="s">
        <v>117</v>
      </c>
      <c r="C5" s="9" t="s">
        <v>118</v>
      </c>
      <c r="D5" s="9" t="s">
        <v>79</v>
      </c>
      <c r="E5" s="9" t="s">
        <v>80</v>
      </c>
      <c r="F5" s="9" t="s">
        <v>81</v>
      </c>
      <c r="G5" s="10">
        <v>600</v>
      </c>
      <c r="H5" s="10"/>
      <c r="I5" s="9" t="s">
        <v>82</v>
      </c>
      <c r="J5" s="9" t="s">
        <v>21</v>
      </c>
      <c r="K5" s="11"/>
      <c r="L5" s="11"/>
      <c r="M5" s="11" t="s">
        <v>83</v>
      </c>
      <c r="N5" s="11"/>
      <c r="O5" s="9" t="s">
        <v>84</v>
      </c>
      <c r="P5" s="9" t="s">
        <v>85</v>
      </c>
      <c r="Q5" s="9">
        <f>IF(IniciativasIA[[#This Row],[Viabilidad]]="Alta",3,IF(IniciativasIA[[#This Row],[Viabilidad]]="Media",2,1))</f>
        <v>3</v>
      </c>
      <c r="R5" s="9" t="s">
        <v>119</v>
      </c>
      <c r="S5" s="9" t="s">
        <v>87</v>
      </c>
      <c r="T5" s="9"/>
      <c r="U5" s="9" t="s">
        <v>120</v>
      </c>
      <c r="V5" s="9" t="s">
        <v>121</v>
      </c>
      <c r="W5" s="9">
        <f>IF(IniciativasIA[[#This Row],[Complejidad]]="Alta",3,IF(IniciativasIA[[#This Row],[Complejidad]]="Media",2,1))</f>
        <v>1</v>
      </c>
      <c r="X5" s="9" t="s">
        <v>122</v>
      </c>
      <c r="Y5" s="9" t="s">
        <v>121</v>
      </c>
      <c r="Z5" s="9" t="s">
        <v>123</v>
      </c>
      <c r="AA5" s="9" t="s">
        <v>106</v>
      </c>
      <c r="AB5" s="9" t="s">
        <v>93</v>
      </c>
      <c r="AC5" s="10">
        <v>1000000</v>
      </c>
      <c r="AD5" s="10" t="s">
        <v>124</v>
      </c>
      <c r="AE5" s="9" t="s">
        <v>85</v>
      </c>
      <c r="AF5" s="1">
        <v>8</v>
      </c>
      <c r="AG5" s="1">
        <v>9</v>
      </c>
      <c r="AH5" s="1">
        <v>6</v>
      </c>
      <c r="AI5" s="1">
        <v>8</v>
      </c>
      <c r="AJ5" s="1">
        <v>8</v>
      </c>
      <c r="AK5" s="1">
        <v>9</v>
      </c>
      <c r="AL5" s="1">
        <v>4</v>
      </c>
      <c r="AM5" s="4">
        <f>IFERROR((IniciativasIA[[#This Row],[Reach]]*IniciativasIA[[#This Row],[Impact]]*IniciativasIA[[#This Row],[Confidence]])/(IniciativasIA[[#This Row],[Effort]]*IniciativasIA[[#This Row],[AI Complexity]]/2),)</f>
        <v>21.333333333333332</v>
      </c>
      <c r="AN5" s="16">
        <f>(RANK(IniciativasIA[[#This Row],[RIC]],IniciativasIA[RIC],1)-1) / (COUNT(IniciativasIA[RIC])-1)</f>
        <v>0.6071428571428571</v>
      </c>
      <c r="AO5" s="9" t="s">
        <v>125</v>
      </c>
      <c r="AP5" s="9"/>
      <c r="AQ5" s="9" t="s">
        <v>96</v>
      </c>
      <c r="AR5" s="12"/>
      <c r="AS5" s="13">
        <v>46023</v>
      </c>
      <c r="AT5" s="13">
        <v>46010</v>
      </c>
      <c r="AU5" s="17">
        <v>46012</v>
      </c>
      <c r="AV5" s="17"/>
      <c r="AW5" s="17">
        <v>46036</v>
      </c>
      <c r="AX5" s="17">
        <v>46112</v>
      </c>
      <c r="AY5" s="17">
        <v>46142</v>
      </c>
      <c r="AZ5" s="17"/>
      <c r="BA5" s="5" t="s">
        <v>126</v>
      </c>
      <c r="BB5" s="5" t="s">
        <v>127</v>
      </c>
      <c r="BC5" s="5" t="str" cm="1">
        <f t="array" aca="1" ref="BC5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Diseño</v>
      </c>
      <c r="BD5" s="19" cm="1">
        <f t="array" aca="1" ref="BD5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46112</v>
      </c>
      <c r="BE5" s="20"/>
      <c r="BF5" s="1"/>
      <c r="BG5" s="1"/>
      <c r="BH5" s="1"/>
      <c r="BI5" s="1" t="s">
        <v>128</v>
      </c>
      <c r="BJ5" s="1"/>
      <c r="BK5" s="1" t="s">
        <v>129</v>
      </c>
      <c r="BL5" s="1"/>
      <c r="BM5" s="1"/>
      <c r="BN5" s="1"/>
      <c r="BO5" s="1"/>
      <c r="BP5" s="5"/>
    </row>
    <row r="6" spans="1:127" x14ac:dyDescent="0.35">
      <c r="A6" s="9">
        <v>4</v>
      </c>
      <c r="B6" s="9" t="s">
        <v>130</v>
      </c>
      <c r="C6" s="9" t="s">
        <v>131</v>
      </c>
      <c r="D6" s="9" t="s">
        <v>79</v>
      </c>
      <c r="E6" s="9" t="s">
        <v>132</v>
      </c>
      <c r="F6" s="9" t="s">
        <v>81</v>
      </c>
      <c r="G6" s="10">
        <v>2800</v>
      </c>
      <c r="H6" s="10"/>
      <c r="I6" s="9" t="s">
        <v>101</v>
      </c>
      <c r="J6" s="9" t="s">
        <v>19</v>
      </c>
      <c r="K6" s="11" t="s">
        <v>83</v>
      </c>
      <c r="L6" s="11" t="s">
        <v>83</v>
      </c>
      <c r="M6" s="11"/>
      <c r="N6" s="11"/>
      <c r="O6" s="9" t="s">
        <v>84</v>
      </c>
      <c r="P6" s="9" t="s">
        <v>85</v>
      </c>
      <c r="Q6" s="9">
        <f>IF(IniciativasIA[[#This Row],[Viabilidad]]="Alta",3,IF(IniciativasIA[[#This Row],[Viabilidad]]="Media",2,1))</f>
        <v>3</v>
      </c>
      <c r="R6" s="9" t="s">
        <v>133</v>
      </c>
      <c r="S6" s="9" t="s">
        <v>87</v>
      </c>
      <c r="T6" s="9"/>
      <c r="U6" s="9" t="s">
        <v>103</v>
      </c>
      <c r="V6" s="9" t="s">
        <v>85</v>
      </c>
      <c r="W6" s="9">
        <f>IF(IniciativasIA[[#This Row],[Complejidad]]="Alta",3,IF(IniciativasIA[[#This Row],[Complejidad]]="Media",2,1))</f>
        <v>3</v>
      </c>
      <c r="X6" s="9" t="s">
        <v>134</v>
      </c>
      <c r="Y6" s="9" t="s">
        <v>89</v>
      </c>
      <c r="Z6" s="9" t="s">
        <v>135</v>
      </c>
      <c r="AA6" s="9" t="s">
        <v>106</v>
      </c>
      <c r="AB6" s="9" t="s">
        <v>93</v>
      </c>
      <c r="AC6" s="10">
        <f>G6*0.0001*1000000</f>
        <v>280000</v>
      </c>
      <c r="AD6" s="10"/>
      <c r="AE6" s="9" t="s">
        <v>85</v>
      </c>
      <c r="AF6" s="1">
        <v>7</v>
      </c>
      <c r="AG6" s="1">
        <v>7.5</v>
      </c>
      <c r="AH6" s="1">
        <v>6</v>
      </c>
      <c r="AI6" s="1">
        <v>8</v>
      </c>
      <c r="AJ6" s="1">
        <v>8</v>
      </c>
      <c r="AK6" s="1">
        <v>5</v>
      </c>
      <c r="AL6" s="1">
        <v>5</v>
      </c>
      <c r="AM6" s="4">
        <f>IFERROR((IniciativasIA[[#This Row],[Reach]]*IniciativasIA[[#This Row],[Impact]]*IniciativasIA[[#This Row],[Confidence]])/(IniciativasIA[[#This Row],[Effort]]*IniciativasIA[[#This Row],[AI Complexity]]/2),)</f>
        <v>30.72</v>
      </c>
      <c r="AN6" s="16">
        <f>(RANK(IniciativasIA[[#This Row],[RIC]],IniciativasIA[RIC],1)-1) / (COUNT(IniciativasIA[RIC])-1)</f>
        <v>0.8035714285714286</v>
      </c>
      <c r="AO6" s="9" t="s">
        <v>136</v>
      </c>
      <c r="AP6" s="9"/>
      <c r="AQ6" s="9" t="s">
        <v>96</v>
      </c>
      <c r="AR6" s="12"/>
      <c r="AS6" s="13">
        <v>46023</v>
      </c>
      <c r="AT6" s="13">
        <v>45292</v>
      </c>
      <c r="AU6" s="17">
        <v>45323</v>
      </c>
      <c r="AV6" s="17"/>
      <c r="AW6" s="17">
        <v>45383</v>
      </c>
      <c r="AX6" s="17">
        <v>45413</v>
      </c>
      <c r="AY6" s="17">
        <v>45626</v>
      </c>
      <c r="AZ6" s="17">
        <v>46234</v>
      </c>
      <c r="BA6" s="5" t="s">
        <v>126</v>
      </c>
      <c r="BB6" s="5" t="s">
        <v>137</v>
      </c>
      <c r="BC6" s="5" t="str" cm="1">
        <f t="array" aca="1" ref="BC6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Mantenimiento</v>
      </c>
      <c r="BD6" s="19" cm="1">
        <f t="array" aca="1" ref="BD6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46234</v>
      </c>
      <c r="BE6" s="20"/>
      <c r="BF6" s="1" t="s">
        <v>138</v>
      </c>
      <c r="BG6" s="1" t="s">
        <v>139</v>
      </c>
      <c r="BH6" s="1" t="s">
        <v>140</v>
      </c>
      <c r="BI6" s="1" t="s">
        <v>128</v>
      </c>
      <c r="BJ6" s="1"/>
      <c r="BK6" s="1" t="s">
        <v>141</v>
      </c>
      <c r="BL6" s="1"/>
      <c r="BM6" s="1"/>
      <c r="BN6" s="1"/>
      <c r="BO6" s="1" t="s">
        <v>142</v>
      </c>
      <c r="BP6" s="5"/>
    </row>
    <row r="7" spans="1:127" x14ac:dyDescent="0.35">
      <c r="A7" s="9">
        <v>5</v>
      </c>
      <c r="B7" s="9" t="s">
        <v>143</v>
      </c>
      <c r="C7" s="9" t="s">
        <v>144</v>
      </c>
      <c r="D7" s="9" t="s">
        <v>145</v>
      </c>
      <c r="E7" s="9" t="s">
        <v>146</v>
      </c>
      <c r="F7" s="9" t="s">
        <v>81</v>
      </c>
      <c r="G7" s="10">
        <v>2600</v>
      </c>
      <c r="H7" s="10"/>
      <c r="I7" s="9" t="s">
        <v>82</v>
      </c>
      <c r="J7" s="9" t="s">
        <v>21</v>
      </c>
      <c r="K7" s="11"/>
      <c r="L7" s="11" t="s">
        <v>83</v>
      </c>
      <c r="M7" s="11" t="s">
        <v>83</v>
      </c>
      <c r="N7" s="11"/>
      <c r="O7" s="9" t="s">
        <v>147</v>
      </c>
      <c r="P7" s="9" t="s">
        <v>89</v>
      </c>
      <c r="Q7" s="9">
        <f>IF(IniciativasIA[[#This Row],[Viabilidad]]="Alta",3,IF(IniciativasIA[[#This Row],[Viabilidad]]="Media",2,1))</f>
        <v>2</v>
      </c>
      <c r="R7" s="9" t="s">
        <v>148</v>
      </c>
      <c r="S7" s="9" t="s">
        <v>87</v>
      </c>
      <c r="T7" s="9"/>
      <c r="U7" s="9" t="s">
        <v>103</v>
      </c>
      <c r="V7" s="9" t="s">
        <v>85</v>
      </c>
      <c r="W7" s="9">
        <f>IF(IniciativasIA[[#This Row],[Complejidad]]="Alta",3,IF(IniciativasIA[[#This Row],[Complejidad]]="Media",2,1))</f>
        <v>3</v>
      </c>
      <c r="X7" s="9" t="s">
        <v>104</v>
      </c>
      <c r="Y7" s="9" t="s">
        <v>85</v>
      </c>
      <c r="Z7" s="9" t="s">
        <v>149</v>
      </c>
      <c r="AA7" s="9" t="s">
        <v>150</v>
      </c>
      <c r="AB7" s="9" t="s">
        <v>151</v>
      </c>
      <c r="AC7" s="10">
        <f t="shared" ref="AC7:AC37" si="0">G7*0.0001*1000000</f>
        <v>260000</v>
      </c>
      <c r="AD7" s="10"/>
      <c r="AE7" s="9" t="s">
        <v>121</v>
      </c>
      <c r="AF7" s="1">
        <v>8</v>
      </c>
      <c r="AG7" s="1">
        <v>3</v>
      </c>
      <c r="AH7" s="1">
        <v>8</v>
      </c>
      <c r="AI7" s="1">
        <v>5</v>
      </c>
      <c r="AJ7" s="1">
        <v>6</v>
      </c>
      <c r="AK7" s="1">
        <v>3</v>
      </c>
      <c r="AL7" s="1">
        <v>5</v>
      </c>
      <c r="AM7" s="4">
        <f>IFERROR((IniciativasIA[[#This Row],[Reach]]*IniciativasIA[[#This Row],[Impact]]*IniciativasIA[[#This Row],[Confidence]])/(IniciativasIA[[#This Row],[Effort]]*IniciativasIA[[#This Row],[AI Complexity]]/2),)</f>
        <v>32</v>
      </c>
      <c r="AN7" s="16">
        <f>(RANK(IniciativasIA[[#This Row],[RIC]],IniciativasIA[RIC],1)-1) / (COUNT(IniciativasIA[RIC])-1)</f>
        <v>0.8571428571428571</v>
      </c>
      <c r="AO7" s="9" t="s">
        <v>152</v>
      </c>
      <c r="AP7" s="9" t="s">
        <v>109</v>
      </c>
      <c r="AQ7" s="9" t="s">
        <v>96</v>
      </c>
      <c r="AR7" s="12"/>
      <c r="AS7" s="13">
        <v>46023</v>
      </c>
      <c r="AT7" s="13"/>
      <c r="AU7" s="17"/>
      <c r="AV7" s="17"/>
      <c r="AW7" s="17"/>
      <c r="AX7" s="17"/>
      <c r="AY7" s="17"/>
      <c r="AZ7" s="17"/>
      <c r="BA7" s="5"/>
      <c r="BB7" s="5"/>
      <c r="BC7" s="5" t="str" cm="1">
        <f t="array" aca="1" ref="BC7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7" s="19" t="str" cm="1">
        <f t="array" aca="1" ref="BD7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7" s="20"/>
      <c r="BF7" s="1"/>
      <c r="BG7" s="1"/>
      <c r="BH7" s="1"/>
      <c r="BI7" s="1"/>
      <c r="BJ7" s="1"/>
      <c r="BK7" s="1"/>
      <c r="BL7" s="1"/>
      <c r="BM7" s="1"/>
      <c r="BN7" s="1"/>
      <c r="BO7" s="1"/>
      <c r="BP7" s="5"/>
    </row>
    <row r="8" spans="1:127" x14ac:dyDescent="0.35">
      <c r="A8" s="9">
        <v>6</v>
      </c>
      <c r="B8" s="9" t="s">
        <v>153</v>
      </c>
      <c r="C8" s="9" t="s">
        <v>154</v>
      </c>
      <c r="D8" s="9" t="s">
        <v>79</v>
      </c>
      <c r="E8" s="9" t="s">
        <v>155</v>
      </c>
      <c r="F8" s="9" t="s">
        <v>81</v>
      </c>
      <c r="G8" s="10">
        <v>10000</v>
      </c>
      <c r="H8" s="10"/>
      <c r="I8" s="9" t="s">
        <v>156</v>
      </c>
      <c r="J8" s="9" t="s">
        <v>20</v>
      </c>
      <c r="K8" s="11"/>
      <c r="L8" s="11" t="s">
        <v>83</v>
      </c>
      <c r="M8" s="11"/>
      <c r="N8" s="11"/>
      <c r="O8" s="9" t="s">
        <v>84</v>
      </c>
      <c r="P8" s="9" t="s">
        <v>85</v>
      </c>
      <c r="Q8" s="9">
        <f>IF(IniciativasIA[[#This Row],[Viabilidad]]="Alta",3,IF(IniciativasIA[[#This Row],[Viabilidad]]="Media",2,1))</f>
        <v>3</v>
      </c>
      <c r="R8" s="9" t="s">
        <v>157</v>
      </c>
      <c r="S8" s="9" t="s">
        <v>87</v>
      </c>
      <c r="T8" s="9"/>
      <c r="U8" s="9" t="s">
        <v>88</v>
      </c>
      <c r="V8" s="9" t="s">
        <v>89</v>
      </c>
      <c r="W8" s="9">
        <f>IF(IniciativasIA[[#This Row],[Complejidad]]="Alta",3,IF(IniciativasIA[[#This Row],[Complejidad]]="Media",2,1))</f>
        <v>2</v>
      </c>
      <c r="X8" s="9" t="s">
        <v>90</v>
      </c>
      <c r="Y8" s="9" t="s">
        <v>89</v>
      </c>
      <c r="Z8" s="9" t="s">
        <v>158</v>
      </c>
      <c r="AA8" s="9" t="s">
        <v>92</v>
      </c>
      <c r="AB8" s="9" t="s">
        <v>159</v>
      </c>
      <c r="AC8" s="10">
        <f t="shared" si="0"/>
        <v>1000000</v>
      </c>
      <c r="AD8" s="10"/>
      <c r="AE8" s="9" t="s">
        <v>121</v>
      </c>
      <c r="AF8" s="1">
        <v>7</v>
      </c>
      <c r="AG8" s="1">
        <v>8</v>
      </c>
      <c r="AH8" s="1">
        <v>6</v>
      </c>
      <c r="AI8" s="1">
        <v>5</v>
      </c>
      <c r="AJ8" s="1">
        <v>8</v>
      </c>
      <c r="AK8" s="1">
        <v>7</v>
      </c>
      <c r="AL8" s="1">
        <v>4</v>
      </c>
      <c r="AM8" s="4">
        <f>IFERROR((IniciativasIA[[#This Row],[Reach]]*IniciativasIA[[#This Row],[Impact]]*IniciativasIA[[#This Row],[Confidence]])/(IniciativasIA[[#This Row],[Effort]]*IniciativasIA[[#This Row],[AI Complexity]]/2),)</f>
        <v>17.142857142857142</v>
      </c>
      <c r="AN8" s="16">
        <f>(RANK(IniciativasIA[[#This Row],[RIC]],IniciativasIA[RIC],1)-1) / (COUNT(IniciativasIA[RIC])-1)</f>
        <v>0.48214285714285715</v>
      </c>
      <c r="AO8" s="9" t="s">
        <v>160</v>
      </c>
      <c r="AP8" s="9"/>
      <c r="AQ8" s="9" t="s">
        <v>96</v>
      </c>
      <c r="AR8" s="12"/>
      <c r="AS8" s="13">
        <v>46023</v>
      </c>
      <c r="AT8" s="13"/>
      <c r="AU8" s="17"/>
      <c r="AV8" s="17"/>
      <c r="AW8" s="17"/>
      <c r="AX8" s="17"/>
      <c r="AY8" s="17"/>
      <c r="AZ8" s="17"/>
      <c r="BA8" s="5"/>
      <c r="BB8" s="5"/>
      <c r="BC8" s="5" t="str" cm="1">
        <f t="array" aca="1" ref="BC8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8" s="19" t="str" cm="1">
        <f t="array" aca="1" ref="BD8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8" s="20"/>
      <c r="BF8" s="1"/>
      <c r="BG8" s="1"/>
      <c r="BH8" s="1"/>
      <c r="BI8" s="1"/>
      <c r="BJ8" s="1"/>
      <c r="BK8" s="1"/>
      <c r="BL8" s="1"/>
      <c r="BM8" s="1"/>
      <c r="BN8" s="1"/>
      <c r="BO8" s="1"/>
      <c r="BP8" s="5"/>
    </row>
    <row r="9" spans="1:127" x14ac:dyDescent="0.35">
      <c r="A9" s="9">
        <v>7</v>
      </c>
      <c r="B9" s="9" t="s">
        <v>161</v>
      </c>
      <c r="C9" s="9" t="s">
        <v>162</v>
      </c>
      <c r="D9" s="9" t="s">
        <v>79</v>
      </c>
      <c r="E9" s="9" t="s">
        <v>100</v>
      </c>
      <c r="F9" s="9" t="s">
        <v>81</v>
      </c>
      <c r="G9" s="10">
        <v>600</v>
      </c>
      <c r="H9" s="10"/>
      <c r="I9" s="9" t="s">
        <v>163</v>
      </c>
      <c r="J9" s="9" t="s">
        <v>20</v>
      </c>
      <c r="K9" s="11"/>
      <c r="L9" s="11" t="s">
        <v>83</v>
      </c>
      <c r="M9" s="11"/>
      <c r="N9" s="11"/>
      <c r="O9" s="9" t="s">
        <v>84</v>
      </c>
      <c r="P9" s="9" t="s">
        <v>89</v>
      </c>
      <c r="Q9" s="9">
        <f>IF(IniciativasIA[[#This Row],[Viabilidad]]="Alta",3,IF(IniciativasIA[[#This Row],[Viabilidad]]="Media",2,1))</f>
        <v>2</v>
      </c>
      <c r="R9" s="9" t="s">
        <v>164</v>
      </c>
      <c r="S9" s="9" t="s">
        <v>87</v>
      </c>
      <c r="T9" s="9"/>
      <c r="U9" s="9" t="s">
        <v>88</v>
      </c>
      <c r="V9" s="9" t="s">
        <v>89</v>
      </c>
      <c r="W9" s="9">
        <f>IF(IniciativasIA[[#This Row],[Complejidad]]="Alta",3,IF(IniciativasIA[[#This Row],[Complejidad]]="Media",2,1))</f>
        <v>2</v>
      </c>
      <c r="X9" s="9" t="s">
        <v>90</v>
      </c>
      <c r="Y9" s="9" t="s">
        <v>89</v>
      </c>
      <c r="Z9" s="9" t="s">
        <v>149</v>
      </c>
      <c r="AA9" s="9" t="s">
        <v>150</v>
      </c>
      <c r="AB9" s="9" t="s">
        <v>151</v>
      </c>
      <c r="AC9" s="10">
        <f t="shared" si="0"/>
        <v>60000.000000000007</v>
      </c>
      <c r="AD9" s="10"/>
      <c r="AE9" s="9" t="s">
        <v>85</v>
      </c>
      <c r="AF9" s="1">
        <v>4.5</v>
      </c>
      <c r="AG9" s="1">
        <v>6</v>
      </c>
      <c r="AH9" s="1">
        <v>6</v>
      </c>
      <c r="AI9" s="1">
        <v>6</v>
      </c>
      <c r="AJ9" s="1">
        <v>6</v>
      </c>
      <c r="AK9" s="1">
        <v>6</v>
      </c>
      <c r="AL9" s="1">
        <v>7</v>
      </c>
      <c r="AM9" s="4">
        <f>IFERROR((IniciativasIA[[#This Row],[Reach]]*IniciativasIA[[#This Row],[Impact]]*IniciativasIA[[#This Row],[Confidence]])/(IniciativasIA[[#This Row],[Effort]]*IniciativasIA[[#This Row],[AI Complexity]]/2),)</f>
        <v>10.285714285714286</v>
      </c>
      <c r="AN9" s="16">
        <f>(RANK(IniciativasIA[[#This Row],[RIC]],IniciativasIA[RIC],1)-1) / (COUNT(IniciativasIA[RIC])-1)</f>
        <v>0.30357142857142855</v>
      </c>
      <c r="AO9" s="9" t="s">
        <v>165</v>
      </c>
      <c r="AP9" s="9"/>
      <c r="AQ9" s="9" t="s">
        <v>96</v>
      </c>
      <c r="AR9" s="12"/>
      <c r="AS9" s="13">
        <v>46023</v>
      </c>
      <c r="AT9" s="13">
        <v>45839</v>
      </c>
      <c r="AU9" s="17">
        <v>45901</v>
      </c>
      <c r="AV9" s="17"/>
      <c r="AW9" s="17">
        <v>46001</v>
      </c>
      <c r="AX9" s="17">
        <v>46111</v>
      </c>
      <c r="AY9" s="17"/>
      <c r="AZ9" s="17"/>
      <c r="BA9" s="5" t="s">
        <v>126</v>
      </c>
      <c r="BB9" s="5" t="s">
        <v>166</v>
      </c>
      <c r="BC9" s="5" t="str" cm="1">
        <f t="array" aca="1" ref="BC9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Diseño</v>
      </c>
      <c r="BD9" s="19" cm="1">
        <f t="array" aca="1" ref="BD9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46111</v>
      </c>
      <c r="BE9" s="20"/>
      <c r="BF9" s="1"/>
      <c r="BG9" s="1"/>
      <c r="BH9" s="1" t="s">
        <v>140</v>
      </c>
      <c r="BI9" s="1" t="s">
        <v>128</v>
      </c>
      <c r="BJ9" s="1"/>
      <c r="BK9" s="1" t="s">
        <v>129</v>
      </c>
      <c r="BL9" s="1"/>
      <c r="BM9" s="1"/>
      <c r="BN9" s="1"/>
      <c r="BO9" s="1" t="s">
        <v>142</v>
      </c>
      <c r="BP9" s="5"/>
    </row>
    <row r="10" spans="1:127" x14ac:dyDescent="0.35">
      <c r="A10" s="9">
        <v>8</v>
      </c>
      <c r="B10" s="9" t="s">
        <v>167</v>
      </c>
      <c r="C10" s="9" t="s">
        <v>168</v>
      </c>
      <c r="D10" s="9" t="s">
        <v>169</v>
      </c>
      <c r="E10" s="9" t="s">
        <v>170</v>
      </c>
      <c r="F10" s="9" t="s">
        <v>81</v>
      </c>
      <c r="G10" s="10">
        <v>200</v>
      </c>
      <c r="H10" s="10"/>
      <c r="I10" s="9" t="s">
        <v>171</v>
      </c>
      <c r="J10" s="9" t="s">
        <v>19</v>
      </c>
      <c r="K10" s="11" t="s">
        <v>83</v>
      </c>
      <c r="L10" s="11"/>
      <c r="M10" s="11"/>
      <c r="N10" s="11"/>
      <c r="O10" s="9" t="s">
        <v>84</v>
      </c>
      <c r="P10" s="9" t="s">
        <v>85</v>
      </c>
      <c r="Q10" s="9">
        <f>IF(IniciativasIA[[#This Row],[Viabilidad]]="Alta",3,IF(IniciativasIA[[#This Row],[Viabilidad]]="Media",2,1))</f>
        <v>3</v>
      </c>
      <c r="R10" s="9" t="s">
        <v>172</v>
      </c>
      <c r="S10" s="9" t="s">
        <v>173</v>
      </c>
      <c r="T10" s="9"/>
      <c r="U10" s="9" t="s">
        <v>88</v>
      </c>
      <c r="V10" s="9" t="s">
        <v>89</v>
      </c>
      <c r="W10" s="9">
        <f>IF(IniciativasIA[[#This Row],[Complejidad]]="Alta",3,IF(IniciativasIA[[#This Row],[Complejidad]]="Media",2,1))</f>
        <v>2</v>
      </c>
      <c r="X10" s="9" t="s">
        <v>134</v>
      </c>
      <c r="Y10" s="9" t="s">
        <v>89</v>
      </c>
      <c r="Z10" s="9" t="s">
        <v>174</v>
      </c>
      <c r="AA10" s="9" t="s">
        <v>92</v>
      </c>
      <c r="AB10" s="9" t="s">
        <v>151</v>
      </c>
      <c r="AC10" s="10">
        <f t="shared" si="0"/>
        <v>20000</v>
      </c>
      <c r="AD10" s="10"/>
      <c r="AE10" s="9" t="s">
        <v>89</v>
      </c>
      <c r="AF10" s="1">
        <v>3</v>
      </c>
      <c r="AG10" s="1">
        <v>7</v>
      </c>
      <c r="AH10" s="1">
        <v>5</v>
      </c>
      <c r="AI10" s="1">
        <v>4</v>
      </c>
      <c r="AJ10" s="1">
        <v>8</v>
      </c>
      <c r="AK10" s="1">
        <v>5</v>
      </c>
      <c r="AL10" s="1">
        <v>5</v>
      </c>
      <c r="AM10" s="4">
        <f>IFERROR((IniciativasIA[[#This Row],[Reach]]*IniciativasIA[[#This Row],[Impact]]*IniciativasIA[[#This Row],[Confidence]])/(IniciativasIA[[#This Row],[Effort]]*IniciativasIA[[#This Row],[AI Complexity]]/2),)</f>
        <v>12.8</v>
      </c>
      <c r="AN10" s="16">
        <f>(RANK(IniciativasIA[[#This Row],[RIC]],IniciativasIA[RIC],1)-1) / (COUNT(IniciativasIA[RIC])-1)</f>
        <v>0.35714285714285715</v>
      </c>
      <c r="AO10" s="9" t="s">
        <v>175</v>
      </c>
      <c r="AP10" s="9"/>
      <c r="AQ10" s="9" t="s">
        <v>96</v>
      </c>
      <c r="AR10" s="12"/>
      <c r="AS10" s="13">
        <v>46023</v>
      </c>
      <c r="AT10" s="13"/>
      <c r="AU10" s="17">
        <v>46076</v>
      </c>
      <c r="AV10" s="17"/>
      <c r="AW10" s="17">
        <v>46111</v>
      </c>
      <c r="AX10" s="17"/>
      <c r="AY10" s="17"/>
      <c r="AZ10" s="17"/>
      <c r="BA10" s="5" t="s">
        <v>176</v>
      </c>
      <c r="BB10" s="5" t="s">
        <v>177</v>
      </c>
      <c r="BC10" s="5" t="str" cm="1">
        <f t="array" aca="1" ref="BC10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Piloto</v>
      </c>
      <c r="BD10" s="19" cm="1">
        <f t="array" aca="1" ref="BD10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46111</v>
      </c>
      <c r="BE10" s="20"/>
      <c r="BF10" s="1"/>
      <c r="BG10" s="1"/>
      <c r="BH10" s="1"/>
      <c r="BI10" s="1"/>
      <c r="BJ10" s="1"/>
      <c r="BK10" s="1" t="s">
        <v>178</v>
      </c>
      <c r="BL10" s="1"/>
      <c r="BM10" s="1"/>
      <c r="BN10" s="1"/>
      <c r="BO10" s="1"/>
      <c r="BP10" s="5"/>
    </row>
    <row r="11" spans="1:127" x14ac:dyDescent="0.35">
      <c r="A11" s="9">
        <v>9</v>
      </c>
      <c r="B11" s="9" t="s">
        <v>179</v>
      </c>
      <c r="C11" s="9" t="s">
        <v>180</v>
      </c>
      <c r="D11" s="9" t="s">
        <v>181</v>
      </c>
      <c r="E11" s="9" t="s">
        <v>100</v>
      </c>
      <c r="F11" s="9" t="s">
        <v>81</v>
      </c>
      <c r="G11" s="10">
        <v>2000</v>
      </c>
      <c r="H11" s="10"/>
      <c r="I11" s="9" t="s">
        <v>182</v>
      </c>
      <c r="J11" s="9" t="s">
        <v>22</v>
      </c>
      <c r="K11" s="11"/>
      <c r="L11" s="11"/>
      <c r="M11" s="11"/>
      <c r="N11" s="11" t="s">
        <v>83</v>
      </c>
      <c r="O11" s="9" t="s">
        <v>183</v>
      </c>
      <c r="P11" s="9" t="s">
        <v>85</v>
      </c>
      <c r="Q11" s="9">
        <f>IF(IniciativasIA[[#This Row],[Viabilidad]]="Alta",3,IF(IniciativasIA[[#This Row],[Viabilidad]]="Media",2,1))</f>
        <v>3</v>
      </c>
      <c r="R11" s="9" t="s">
        <v>184</v>
      </c>
      <c r="S11" s="9" t="s">
        <v>87</v>
      </c>
      <c r="T11" s="9"/>
      <c r="U11" s="9" t="s">
        <v>103</v>
      </c>
      <c r="V11" s="9" t="s">
        <v>89</v>
      </c>
      <c r="W11" s="9">
        <f>IF(IniciativasIA[[#This Row],[Complejidad]]="Alta",3,IF(IniciativasIA[[#This Row],[Complejidad]]="Media",2,1))</f>
        <v>2</v>
      </c>
      <c r="X11" s="9" t="s">
        <v>134</v>
      </c>
      <c r="Y11" s="9" t="s">
        <v>89</v>
      </c>
      <c r="Z11" s="9" t="s">
        <v>185</v>
      </c>
      <c r="AA11" s="9" t="s">
        <v>150</v>
      </c>
      <c r="AB11" s="9" t="s">
        <v>93</v>
      </c>
      <c r="AC11" s="10">
        <f>G11*0.0001*10000</f>
        <v>2000</v>
      </c>
      <c r="AD11" s="10"/>
      <c r="AE11" s="9" t="s">
        <v>85</v>
      </c>
      <c r="AF11" s="1">
        <v>4</v>
      </c>
      <c r="AG11" s="1">
        <v>6.5</v>
      </c>
      <c r="AH11" s="1">
        <v>5</v>
      </c>
      <c r="AI11" s="1">
        <v>6</v>
      </c>
      <c r="AJ11" s="1">
        <v>8</v>
      </c>
      <c r="AK11" s="1">
        <v>5</v>
      </c>
      <c r="AL11" s="1">
        <v>5</v>
      </c>
      <c r="AM11" s="4">
        <f>IFERROR((IniciativasIA[[#This Row],[Reach]]*IniciativasIA[[#This Row],[Impact]]*IniciativasIA[[#This Row],[Confidence]])/(IniciativasIA[[#This Row],[Effort]]*IniciativasIA[[#This Row],[AI Complexity]]/2),)</f>
        <v>19.2</v>
      </c>
      <c r="AN11" s="16">
        <f>(RANK(IniciativasIA[[#This Row],[RIC]],IniciativasIA[RIC],1)-1) / (COUNT(IniciativasIA[RIC])-1)</f>
        <v>0.5892857142857143</v>
      </c>
      <c r="AO11" s="9" t="s">
        <v>186</v>
      </c>
      <c r="AP11" s="9"/>
      <c r="AQ11" s="9" t="s">
        <v>96</v>
      </c>
      <c r="AR11" s="12"/>
      <c r="AS11" s="13">
        <v>46023</v>
      </c>
      <c r="AT11" s="13"/>
      <c r="AU11" s="17"/>
      <c r="AV11" s="17"/>
      <c r="AW11" s="17"/>
      <c r="AX11" s="17"/>
      <c r="AY11" s="17"/>
      <c r="AZ11" s="17"/>
      <c r="BA11" s="5"/>
      <c r="BB11" s="5"/>
      <c r="BC11" s="5" t="str" cm="1">
        <f t="array" aca="1" ref="BC11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11" s="19" t="str" cm="1">
        <f t="array" aca="1" ref="BD11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11" s="20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5"/>
    </row>
    <row r="12" spans="1:127" x14ac:dyDescent="0.35">
      <c r="A12" s="9">
        <v>10</v>
      </c>
      <c r="B12" s="9" t="s">
        <v>187</v>
      </c>
      <c r="C12" s="9" t="s">
        <v>188</v>
      </c>
      <c r="D12" s="9" t="s">
        <v>79</v>
      </c>
      <c r="E12" s="9" t="s">
        <v>100</v>
      </c>
      <c r="F12" s="9" t="s">
        <v>81</v>
      </c>
      <c r="G12" s="10">
        <v>2000</v>
      </c>
      <c r="H12" s="10"/>
      <c r="I12" s="9" t="s">
        <v>171</v>
      </c>
      <c r="J12" s="9" t="s">
        <v>21</v>
      </c>
      <c r="K12" s="11"/>
      <c r="L12" s="11"/>
      <c r="M12" s="11" t="s">
        <v>83</v>
      </c>
      <c r="N12" s="11"/>
      <c r="O12" s="9" t="s">
        <v>183</v>
      </c>
      <c r="P12" s="9" t="s">
        <v>85</v>
      </c>
      <c r="Q12" s="9">
        <f>IF(IniciativasIA[[#This Row],[Viabilidad]]="Alta",3,IF(IniciativasIA[[#This Row],[Viabilidad]]="Media",2,1))</f>
        <v>3</v>
      </c>
      <c r="R12" s="9" t="s">
        <v>189</v>
      </c>
      <c r="S12" s="9" t="s">
        <v>87</v>
      </c>
      <c r="T12" s="9"/>
      <c r="U12" s="9" t="s">
        <v>88</v>
      </c>
      <c r="V12" s="9" t="s">
        <v>89</v>
      </c>
      <c r="W12" s="9">
        <f>IF(IniciativasIA[[#This Row],[Complejidad]]="Alta",3,IF(IniciativasIA[[#This Row],[Complejidad]]="Media",2,1))</f>
        <v>2</v>
      </c>
      <c r="X12" s="9" t="s">
        <v>134</v>
      </c>
      <c r="Y12" s="9" t="s">
        <v>89</v>
      </c>
      <c r="Z12" s="9" t="s">
        <v>190</v>
      </c>
      <c r="AA12" s="9" t="s">
        <v>92</v>
      </c>
      <c r="AB12" s="9" t="s">
        <v>151</v>
      </c>
      <c r="AC12" s="10">
        <f>G12*0.0001*10000</f>
        <v>2000</v>
      </c>
      <c r="AD12" s="10"/>
      <c r="AE12" s="9" t="s">
        <v>89</v>
      </c>
      <c r="AF12" s="1">
        <v>5.5</v>
      </c>
      <c r="AG12" s="1">
        <v>8</v>
      </c>
      <c r="AH12" s="1">
        <v>6</v>
      </c>
      <c r="AI12" s="1">
        <v>6</v>
      </c>
      <c r="AJ12" s="1">
        <v>8</v>
      </c>
      <c r="AK12" s="1">
        <v>5</v>
      </c>
      <c r="AL12" s="1">
        <v>5</v>
      </c>
      <c r="AM12" s="4">
        <f>IFERROR((IniciativasIA[[#This Row],[Reach]]*IniciativasIA[[#This Row],[Impact]]*IniciativasIA[[#This Row],[Confidence]])/(IniciativasIA[[#This Row],[Effort]]*IniciativasIA[[#This Row],[AI Complexity]]/2),)</f>
        <v>23.04</v>
      </c>
      <c r="AN12" s="16">
        <f>(RANK(IniciativasIA[[#This Row],[RIC]],IniciativasIA[RIC],1)-1) / (COUNT(IniciativasIA[RIC])-1)</f>
        <v>0.6964285714285714</v>
      </c>
      <c r="AO12" s="9" t="s">
        <v>191</v>
      </c>
      <c r="AP12" s="9"/>
      <c r="AQ12" s="9" t="s">
        <v>96</v>
      </c>
      <c r="AR12" s="12"/>
      <c r="AS12" s="13">
        <v>46023</v>
      </c>
      <c r="AT12" s="13"/>
      <c r="AU12" s="17"/>
      <c r="AV12" s="17"/>
      <c r="AW12" s="17"/>
      <c r="AX12" s="17"/>
      <c r="AY12" s="17"/>
      <c r="AZ12" s="17"/>
      <c r="BA12" s="5"/>
      <c r="BB12" s="5"/>
      <c r="BC12" s="5" t="str" cm="1">
        <f t="array" aca="1" ref="BC12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12" s="19" t="str" cm="1">
        <f t="array" aca="1" ref="BD12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12" s="20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5"/>
    </row>
    <row r="13" spans="1:127" x14ac:dyDescent="0.35">
      <c r="A13" s="9">
        <v>11</v>
      </c>
      <c r="B13" s="9" t="s">
        <v>192</v>
      </c>
      <c r="C13" s="9" t="s">
        <v>193</v>
      </c>
      <c r="D13" s="9" t="s">
        <v>194</v>
      </c>
      <c r="E13" s="9" t="s">
        <v>100</v>
      </c>
      <c r="F13" s="9" t="s">
        <v>81</v>
      </c>
      <c r="G13" s="10">
        <v>600</v>
      </c>
      <c r="H13" s="10"/>
      <c r="I13" s="9" t="s">
        <v>171</v>
      </c>
      <c r="J13" s="9" t="s">
        <v>21</v>
      </c>
      <c r="K13" s="11"/>
      <c r="L13" s="11"/>
      <c r="M13" s="11" t="s">
        <v>83</v>
      </c>
      <c r="N13" s="11"/>
      <c r="O13" s="9" t="s">
        <v>84</v>
      </c>
      <c r="P13" s="9" t="s">
        <v>89</v>
      </c>
      <c r="Q13" s="9">
        <f>IF(IniciativasIA[[#This Row],[Viabilidad]]="Alta",3,IF(IniciativasIA[[#This Row],[Viabilidad]]="Media",2,1))</f>
        <v>2</v>
      </c>
      <c r="R13" s="9" t="s">
        <v>195</v>
      </c>
      <c r="S13" s="9" t="s">
        <v>87</v>
      </c>
      <c r="T13" s="9"/>
      <c r="U13" s="9" t="s">
        <v>88</v>
      </c>
      <c r="V13" s="9" t="s">
        <v>89</v>
      </c>
      <c r="W13" s="9">
        <f>IF(IniciativasIA[[#This Row],[Complejidad]]="Alta",3,IF(IniciativasIA[[#This Row],[Complejidad]]="Media",2,1))</f>
        <v>2</v>
      </c>
      <c r="X13" s="9" t="s">
        <v>134</v>
      </c>
      <c r="Y13" s="9" t="s">
        <v>89</v>
      </c>
      <c r="Z13" s="9" t="s">
        <v>196</v>
      </c>
      <c r="AA13" s="9" t="s">
        <v>197</v>
      </c>
      <c r="AB13" s="9" t="s">
        <v>151</v>
      </c>
      <c r="AC13" s="10">
        <f t="shared" si="0"/>
        <v>60000.000000000007</v>
      </c>
      <c r="AD13" s="10"/>
      <c r="AE13" s="9" t="s">
        <v>89</v>
      </c>
      <c r="AF13" s="1">
        <v>4</v>
      </c>
      <c r="AG13" s="1">
        <v>7</v>
      </c>
      <c r="AH13" s="1">
        <v>6</v>
      </c>
      <c r="AI13" s="1">
        <v>5</v>
      </c>
      <c r="AJ13" s="1">
        <v>6</v>
      </c>
      <c r="AK13" s="1">
        <v>5</v>
      </c>
      <c r="AL13" s="1">
        <v>5</v>
      </c>
      <c r="AM13" s="4">
        <f>IFERROR((IniciativasIA[[#This Row],[Reach]]*IniciativasIA[[#This Row],[Impact]]*IniciativasIA[[#This Row],[Confidence]])/(IniciativasIA[[#This Row],[Effort]]*IniciativasIA[[#This Row],[AI Complexity]]/2),)</f>
        <v>14.4</v>
      </c>
      <c r="AN13" s="16">
        <f>(RANK(IniciativasIA[[#This Row],[RIC]],IniciativasIA[RIC],1)-1) / (COUNT(IniciativasIA[RIC])-1)</f>
        <v>0.42857142857142855</v>
      </c>
      <c r="AO13" s="9" t="s">
        <v>198</v>
      </c>
      <c r="AP13" s="9"/>
      <c r="AQ13" s="9" t="s">
        <v>199</v>
      </c>
      <c r="AR13" s="12"/>
      <c r="AS13" s="13">
        <v>46023</v>
      </c>
      <c r="AT13" s="13"/>
      <c r="AU13" s="17"/>
      <c r="AV13" s="17"/>
      <c r="AW13" s="17"/>
      <c r="AX13" s="17"/>
      <c r="AY13" s="17"/>
      <c r="AZ13" s="17"/>
      <c r="BA13" s="5"/>
      <c r="BB13" s="5"/>
      <c r="BC13" s="5" t="str" cm="1">
        <f t="array" aca="1" ref="BC13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13" s="19" t="str" cm="1">
        <f t="array" aca="1" ref="BD13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13" s="20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5"/>
    </row>
    <row r="14" spans="1:127" x14ac:dyDescent="0.35">
      <c r="A14" s="9">
        <v>12</v>
      </c>
      <c r="B14" s="9" t="s">
        <v>200</v>
      </c>
      <c r="C14" s="9" t="s">
        <v>201</v>
      </c>
      <c r="D14" s="9" t="s">
        <v>202</v>
      </c>
      <c r="E14" s="9" t="s">
        <v>203</v>
      </c>
      <c r="F14" s="9" t="s">
        <v>204</v>
      </c>
      <c r="G14" s="10">
        <v>17000</v>
      </c>
      <c r="H14" s="10"/>
      <c r="I14" s="9" t="s">
        <v>205</v>
      </c>
      <c r="J14" s="9" t="s">
        <v>22</v>
      </c>
      <c r="K14" s="11"/>
      <c r="L14" s="11"/>
      <c r="M14" s="11"/>
      <c r="N14" s="11" t="s">
        <v>83</v>
      </c>
      <c r="O14" s="9" t="s">
        <v>84</v>
      </c>
      <c r="P14" s="9" t="s">
        <v>89</v>
      </c>
      <c r="Q14" s="9">
        <f>IF(IniciativasIA[[#This Row],[Viabilidad]]="Alta",3,IF(IniciativasIA[[#This Row],[Viabilidad]]="Media",2,1))</f>
        <v>2</v>
      </c>
      <c r="R14" s="9" t="s">
        <v>206</v>
      </c>
      <c r="S14" s="9" t="s">
        <v>207</v>
      </c>
      <c r="T14" s="9"/>
      <c r="U14" s="9" t="s">
        <v>103</v>
      </c>
      <c r="V14" s="9" t="s">
        <v>89</v>
      </c>
      <c r="W14" s="9">
        <f>IF(IniciativasIA[[#This Row],[Complejidad]]="Alta",3,IF(IniciativasIA[[#This Row],[Complejidad]]="Media",2,1))</f>
        <v>2</v>
      </c>
      <c r="X14" s="9" t="s">
        <v>134</v>
      </c>
      <c r="Y14" s="9" t="s">
        <v>85</v>
      </c>
      <c r="Z14" s="9" t="s">
        <v>208</v>
      </c>
      <c r="AA14" s="9" t="s">
        <v>197</v>
      </c>
      <c r="AB14" s="9" t="s">
        <v>151</v>
      </c>
      <c r="AC14" s="10">
        <f t="shared" si="0"/>
        <v>1700000.0000000002</v>
      </c>
      <c r="AD14" s="10"/>
      <c r="AE14" s="9" t="s">
        <v>85</v>
      </c>
      <c r="AF14" s="1">
        <v>8</v>
      </c>
      <c r="AG14" s="1">
        <v>5</v>
      </c>
      <c r="AH14" s="1">
        <v>6</v>
      </c>
      <c r="AI14" s="1">
        <v>8</v>
      </c>
      <c r="AJ14" s="1">
        <v>6</v>
      </c>
      <c r="AK14" s="1">
        <v>5</v>
      </c>
      <c r="AL14" s="1">
        <v>4</v>
      </c>
      <c r="AM14" s="4">
        <f>IFERROR((IniciativasIA[[#This Row],[Reach]]*IniciativasIA[[#This Row],[Impact]]*IniciativasIA[[#This Row],[Confidence]])/(IniciativasIA[[#This Row],[Effort]]*IniciativasIA[[#This Row],[AI Complexity]]/2),)</f>
        <v>28.8</v>
      </c>
      <c r="AN14" s="16">
        <f>(RANK(IniciativasIA[[#This Row],[RIC]],IniciativasIA[RIC],1)-1) / (COUNT(IniciativasIA[RIC])-1)</f>
        <v>0.7678571428571429</v>
      </c>
      <c r="AO14" s="9" t="s">
        <v>209</v>
      </c>
      <c r="AP14" s="9"/>
      <c r="AQ14" s="9" t="s">
        <v>199</v>
      </c>
      <c r="AR14" s="12"/>
      <c r="AS14" s="13">
        <v>46023</v>
      </c>
      <c r="AT14" s="13"/>
      <c r="AU14" s="17"/>
      <c r="AV14" s="17"/>
      <c r="AW14" s="17"/>
      <c r="AX14" s="17"/>
      <c r="AY14" s="17"/>
      <c r="AZ14" s="17"/>
      <c r="BA14" s="5"/>
      <c r="BB14" s="5"/>
      <c r="BC14" s="5" t="str" cm="1">
        <f t="array" aca="1" ref="BC14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14" s="19" t="str" cm="1">
        <f t="array" aca="1" ref="BD14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14" s="20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5"/>
    </row>
    <row r="15" spans="1:127" ht="29" x14ac:dyDescent="0.35">
      <c r="A15" s="9">
        <v>13</v>
      </c>
      <c r="B15" s="9" t="s">
        <v>210</v>
      </c>
      <c r="C15" s="9" t="s">
        <v>211</v>
      </c>
      <c r="D15" s="9" t="s">
        <v>169</v>
      </c>
      <c r="E15" s="9" t="s">
        <v>212</v>
      </c>
      <c r="F15" s="9" t="s">
        <v>213</v>
      </c>
      <c r="G15" s="10">
        <v>200</v>
      </c>
      <c r="H15" s="10"/>
      <c r="I15" s="9" t="s">
        <v>214</v>
      </c>
      <c r="J15" s="9" t="s">
        <v>21</v>
      </c>
      <c r="K15" s="11"/>
      <c r="L15" s="11"/>
      <c r="M15" s="11" t="s">
        <v>83</v>
      </c>
      <c r="N15" s="11"/>
      <c r="O15" s="9" t="s">
        <v>84</v>
      </c>
      <c r="P15" s="9" t="s">
        <v>85</v>
      </c>
      <c r="Q15" s="9">
        <f>IF(IniciativasIA[[#This Row],[Viabilidad]]="Alta",3,IF(IniciativasIA[[#This Row],[Viabilidad]]="Media",2,1))</f>
        <v>3</v>
      </c>
      <c r="R15" s="9" t="s">
        <v>215</v>
      </c>
      <c r="S15" s="9" t="s">
        <v>87</v>
      </c>
      <c r="T15" s="9"/>
      <c r="U15" s="9" t="s">
        <v>120</v>
      </c>
      <c r="V15" s="9" t="s">
        <v>121</v>
      </c>
      <c r="W15" s="9">
        <f>IF(IniciativasIA[[#This Row],[Complejidad]]="Alta",3,IF(IniciativasIA[[#This Row],[Complejidad]]="Media",2,1))</f>
        <v>1</v>
      </c>
      <c r="X15" s="9" t="s">
        <v>122</v>
      </c>
      <c r="Y15" s="9" t="s">
        <v>121</v>
      </c>
      <c r="Z15" s="9" t="s">
        <v>216</v>
      </c>
      <c r="AA15" s="9" t="s">
        <v>92</v>
      </c>
      <c r="AB15" s="9" t="s">
        <v>93</v>
      </c>
      <c r="AC15" s="10">
        <f>G15*0.001*1000000</f>
        <v>200000</v>
      </c>
      <c r="AD15" s="10"/>
      <c r="AE15" s="9" t="s">
        <v>89</v>
      </c>
      <c r="AF15" s="1">
        <v>6</v>
      </c>
      <c r="AG15" s="1">
        <v>9</v>
      </c>
      <c r="AH15" s="1">
        <v>6</v>
      </c>
      <c r="AI15" s="1">
        <v>6.5</v>
      </c>
      <c r="AJ15" s="1">
        <v>8</v>
      </c>
      <c r="AK15" s="1">
        <v>9</v>
      </c>
      <c r="AL15" s="1">
        <v>4</v>
      </c>
      <c r="AM15" s="4">
        <f>IFERROR((IniciativasIA[[#This Row],[Reach]]*IniciativasIA[[#This Row],[Impact]]*IniciativasIA[[#This Row],[Confidence]])/(IniciativasIA[[#This Row],[Effort]]*IniciativasIA[[#This Row],[AI Complexity]]/2),)</f>
        <v>17.333333333333332</v>
      </c>
      <c r="AN15" s="16">
        <f>(RANK(IniciativasIA[[#This Row],[RIC]],IniciativasIA[RIC],1)-1) / (COUNT(IniciativasIA[RIC])-1)</f>
        <v>0.5178571428571429</v>
      </c>
      <c r="AO15" s="9" t="s">
        <v>217</v>
      </c>
      <c r="AP15" s="9"/>
      <c r="AQ15" s="9" t="s">
        <v>96</v>
      </c>
      <c r="AR15" s="12"/>
      <c r="AS15" s="13">
        <v>46023</v>
      </c>
      <c r="AT15" s="13"/>
      <c r="AU15" s="17">
        <v>46003</v>
      </c>
      <c r="AV15" s="17"/>
      <c r="AW15" s="17">
        <v>46003</v>
      </c>
      <c r="AX15" s="17">
        <v>46118</v>
      </c>
      <c r="AY15" s="17">
        <v>46174</v>
      </c>
      <c r="AZ15" s="17"/>
      <c r="BA15" s="5" t="s">
        <v>126</v>
      </c>
      <c r="BB15" s="5" t="s">
        <v>218</v>
      </c>
      <c r="BC15" s="5" t="str" cm="1">
        <f t="array" aca="1" ref="BC15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Diseño</v>
      </c>
      <c r="BD15" s="19" cm="1">
        <f t="array" aca="1" ref="BD15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46118</v>
      </c>
      <c r="BE15" s="20">
        <v>1</v>
      </c>
      <c r="BF15" s="1" t="s">
        <v>138</v>
      </c>
      <c r="BG15" s="1" t="s">
        <v>139</v>
      </c>
      <c r="BH15" s="1" t="s">
        <v>140</v>
      </c>
      <c r="BI15" s="1" t="s">
        <v>128</v>
      </c>
      <c r="BJ15" s="1"/>
      <c r="BK15" s="1" t="s">
        <v>129</v>
      </c>
      <c r="BL15" s="1"/>
      <c r="BM15" s="1"/>
      <c r="BN15" s="1"/>
      <c r="BO15" s="1" t="s">
        <v>142</v>
      </c>
      <c r="BP15" s="5"/>
    </row>
    <row r="16" spans="1:127" x14ac:dyDescent="0.35">
      <c r="A16" s="9">
        <v>14</v>
      </c>
      <c r="B16" s="9" t="s">
        <v>219</v>
      </c>
      <c r="C16" s="9" t="s">
        <v>220</v>
      </c>
      <c r="D16" s="9" t="s">
        <v>79</v>
      </c>
      <c r="E16" s="9" t="s">
        <v>221</v>
      </c>
      <c r="F16" s="9" t="s">
        <v>204</v>
      </c>
      <c r="G16" s="10">
        <v>35000</v>
      </c>
      <c r="H16" s="10"/>
      <c r="I16" s="9" t="s">
        <v>182</v>
      </c>
      <c r="J16" s="9" t="s">
        <v>21</v>
      </c>
      <c r="K16" s="11"/>
      <c r="L16" s="11"/>
      <c r="M16" s="11"/>
      <c r="N16" s="11" t="s">
        <v>83</v>
      </c>
      <c r="O16" s="9" t="s">
        <v>222</v>
      </c>
      <c r="P16" s="9" t="s">
        <v>89</v>
      </c>
      <c r="Q16" s="9">
        <f>IF(IniciativasIA[[#This Row],[Viabilidad]]="Alta",3,IF(IniciativasIA[[#This Row],[Viabilidad]]="Media",2,1))</f>
        <v>2</v>
      </c>
      <c r="R16" s="9" t="s">
        <v>223</v>
      </c>
      <c r="S16" s="9" t="s">
        <v>87</v>
      </c>
      <c r="T16" s="9"/>
      <c r="U16" s="9" t="s">
        <v>88</v>
      </c>
      <c r="V16" s="9" t="s">
        <v>89</v>
      </c>
      <c r="W16" s="9">
        <f>IF(IniciativasIA[[#This Row],[Complejidad]]="Alta",3,IF(IniciativasIA[[#This Row],[Complejidad]]="Media",2,1))</f>
        <v>2</v>
      </c>
      <c r="X16" s="9" t="s">
        <v>134</v>
      </c>
      <c r="Y16" s="9" t="s">
        <v>89</v>
      </c>
      <c r="Z16" s="9" t="s">
        <v>224</v>
      </c>
      <c r="AA16" s="9" t="s">
        <v>150</v>
      </c>
      <c r="AB16" s="9" t="s">
        <v>151</v>
      </c>
      <c r="AC16" s="10">
        <f t="shared" si="0"/>
        <v>3500000</v>
      </c>
      <c r="AD16" s="10"/>
      <c r="AE16" s="9" t="s">
        <v>89</v>
      </c>
      <c r="AF16" s="1">
        <v>7</v>
      </c>
      <c r="AG16" s="1">
        <v>6</v>
      </c>
      <c r="AH16" s="1">
        <v>6</v>
      </c>
      <c r="AI16" s="1">
        <v>8</v>
      </c>
      <c r="AJ16" s="1">
        <v>6</v>
      </c>
      <c r="AK16" s="1">
        <v>5</v>
      </c>
      <c r="AL16" s="1">
        <v>5</v>
      </c>
      <c r="AM16" s="4">
        <f>IFERROR((IniciativasIA[[#This Row],[Reach]]*IniciativasIA[[#This Row],[Impact]]*IniciativasIA[[#This Row],[Confidence]])/(IniciativasIA[[#This Row],[Effort]]*IniciativasIA[[#This Row],[AI Complexity]]/2),)</f>
        <v>23.04</v>
      </c>
      <c r="AN16" s="16">
        <f>(RANK(IniciativasIA[[#This Row],[RIC]],IniciativasIA[RIC],1)-1) / (COUNT(IniciativasIA[RIC])-1)</f>
        <v>0.6964285714285714</v>
      </c>
      <c r="AO16" s="9"/>
      <c r="AP16" s="9"/>
      <c r="AQ16" s="9" t="s">
        <v>96</v>
      </c>
      <c r="AR16" s="12"/>
      <c r="AS16" s="13">
        <v>46023</v>
      </c>
      <c r="AT16" s="13"/>
      <c r="AU16" s="17"/>
      <c r="AV16" s="17"/>
      <c r="AW16" s="17"/>
      <c r="AX16" s="17"/>
      <c r="AY16" s="17"/>
      <c r="AZ16" s="17"/>
      <c r="BA16" s="5"/>
      <c r="BB16" s="5"/>
      <c r="BC16" s="5" t="str" cm="1">
        <f t="array" aca="1" ref="BC16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16" s="19" t="str" cm="1">
        <f t="array" aca="1" ref="BD16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16" s="20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5"/>
    </row>
    <row r="17" spans="1:68" x14ac:dyDescent="0.35">
      <c r="A17" s="9">
        <v>15</v>
      </c>
      <c r="B17" s="9" t="s">
        <v>225</v>
      </c>
      <c r="C17" s="9" t="s">
        <v>226</v>
      </c>
      <c r="D17" s="9" t="s">
        <v>145</v>
      </c>
      <c r="E17" s="9" t="s">
        <v>100</v>
      </c>
      <c r="F17" s="9" t="s">
        <v>81</v>
      </c>
      <c r="G17" s="10">
        <v>2000</v>
      </c>
      <c r="H17" s="10"/>
      <c r="I17" s="9" t="s">
        <v>205</v>
      </c>
      <c r="J17" s="9" t="s">
        <v>22</v>
      </c>
      <c r="K17" s="11"/>
      <c r="L17" s="11"/>
      <c r="M17" s="11"/>
      <c r="N17" s="11" t="s">
        <v>83</v>
      </c>
      <c r="O17" s="9" t="s">
        <v>84</v>
      </c>
      <c r="P17" s="9" t="s">
        <v>85</v>
      </c>
      <c r="Q17" s="9">
        <f>IF(IniciativasIA[[#This Row],[Viabilidad]]="Alta",3,IF(IniciativasIA[[#This Row],[Viabilidad]]="Media",2,1))</f>
        <v>3</v>
      </c>
      <c r="R17" s="9" t="s">
        <v>227</v>
      </c>
      <c r="S17" s="9" t="s">
        <v>87</v>
      </c>
      <c r="T17" s="9"/>
      <c r="U17" s="9" t="s">
        <v>103</v>
      </c>
      <c r="V17" s="9" t="s">
        <v>85</v>
      </c>
      <c r="W17" s="9">
        <f>IF(IniciativasIA[[#This Row],[Complejidad]]="Alta",3,IF(IniciativasIA[[#This Row],[Complejidad]]="Media",2,1))</f>
        <v>3</v>
      </c>
      <c r="X17" s="9" t="s">
        <v>104</v>
      </c>
      <c r="Y17" s="9" t="s">
        <v>89</v>
      </c>
      <c r="Z17" s="9" t="s">
        <v>228</v>
      </c>
      <c r="AA17" s="9" t="s">
        <v>150</v>
      </c>
      <c r="AB17" s="9" t="s">
        <v>93</v>
      </c>
      <c r="AC17" s="10">
        <f>G17*0.0001*10000</f>
        <v>2000</v>
      </c>
      <c r="AD17" s="10"/>
      <c r="AE17" s="9" t="s">
        <v>85</v>
      </c>
      <c r="AF17" s="1">
        <v>6</v>
      </c>
      <c r="AG17" s="1">
        <v>5</v>
      </c>
      <c r="AH17" s="1">
        <v>8</v>
      </c>
      <c r="AI17" s="1">
        <v>7</v>
      </c>
      <c r="AJ17" s="1">
        <v>8</v>
      </c>
      <c r="AK17" s="1">
        <v>3</v>
      </c>
      <c r="AL17" s="1">
        <v>4</v>
      </c>
      <c r="AM17" s="4">
        <f>IFERROR((IniciativasIA[[#This Row],[Reach]]*IniciativasIA[[#This Row],[Impact]]*IniciativasIA[[#This Row],[Confidence]])/(IniciativasIA[[#This Row],[Effort]]*IniciativasIA[[#This Row],[AI Complexity]]/2),)</f>
        <v>74.666666666666671</v>
      </c>
      <c r="AN17" s="16">
        <f>(RANK(IniciativasIA[[#This Row],[RIC]],IniciativasIA[RIC],1)-1) / (COUNT(IniciativasIA[RIC])-1)</f>
        <v>1</v>
      </c>
      <c r="AO17" s="9" t="s">
        <v>229</v>
      </c>
      <c r="AP17" s="9" t="s">
        <v>109</v>
      </c>
      <c r="AQ17" s="9" t="s">
        <v>96</v>
      </c>
      <c r="AR17" s="12"/>
      <c r="AS17" s="13">
        <v>46023</v>
      </c>
      <c r="AT17" s="13"/>
      <c r="AU17" s="17"/>
      <c r="AV17" s="17"/>
      <c r="AW17" s="17"/>
      <c r="AX17" s="17"/>
      <c r="AY17" s="17"/>
      <c r="AZ17" s="17"/>
      <c r="BA17" s="5"/>
      <c r="BB17" s="5"/>
      <c r="BC17" s="5" t="str" cm="1">
        <f t="array" aca="1" ref="BC17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17" s="19" t="str" cm="1">
        <f t="array" aca="1" ref="BD17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17" s="20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5"/>
    </row>
    <row r="18" spans="1:68" x14ac:dyDescent="0.35">
      <c r="A18" s="9">
        <v>16</v>
      </c>
      <c r="B18" s="9" t="s">
        <v>230</v>
      </c>
      <c r="C18" s="9" t="s">
        <v>231</v>
      </c>
      <c r="D18" s="9" t="s">
        <v>232</v>
      </c>
      <c r="E18" s="9" t="s">
        <v>100</v>
      </c>
      <c r="F18" s="9" t="s">
        <v>81</v>
      </c>
      <c r="G18" s="10">
        <v>2000</v>
      </c>
      <c r="H18" s="10"/>
      <c r="I18" s="9" t="s">
        <v>163</v>
      </c>
      <c r="J18" s="9" t="s">
        <v>20</v>
      </c>
      <c r="K18" s="11"/>
      <c r="L18" s="11" t="s">
        <v>83</v>
      </c>
      <c r="M18" s="11"/>
      <c r="N18" s="11"/>
      <c r="O18" s="9" t="s">
        <v>147</v>
      </c>
      <c r="P18" s="9" t="s">
        <v>85</v>
      </c>
      <c r="Q18" s="9">
        <f>IF(IniciativasIA[[#This Row],[Viabilidad]]="Alta",3,IF(IniciativasIA[[#This Row],[Viabilidad]]="Media",2,1))</f>
        <v>3</v>
      </c>
      <c r="R18" s="9" t="s">
        <v>233</v>
      </c>
      <c r="S18" s="9" t="s">
        <v>87</v>
      </c>
      <c r="T18" s="9"/>
      <c r="U18" s="9" t="s">
        <v>88</v>
      </c>
      <c r="V18" s="9" t="s">
        <v>89</v>
      </c>
      <c r="W18" s="9">
        <f>IF(IniciativasIA[[#This Row],[Complejidad]]="Alta",3,IF(IniciativasIA[[#This Row],[Complejidad]]="Media",2,1))</f>
        <v>2</v>
      </c>
      <c r="X18" s="9" t="s">
        <v>90</v>
      </c>
      <c r="Y18" s="9" t="s">
        <v>89</v>
      </c>
      <c r="Z18" s="9" t="s">
        <v>149</v>
      </c>
      <c r="AA18" s="9" t="s">
        <v>150</v>
      </c>
      <c r="AB18" s="9" t="s">
        <v>151</v>
      </c>
      <c r="AC18" s="10">
        <f>G18*0.0001*10000</f>
        <v>2000</v>
      </c>
      <c r="AD18" s="10"/>
      <c r="AE18" s="9" t="s">
        <v>89</v>
      </c>
      <c r="AF18" s="1">
        <v>5</v>
      </c>
      <c r="AG18" s="1">
        <v>8</v>
      </c>
      <c r="AH18" s="1">
        <v>6</v>
      </c>
      <c r="AI18" s="1">
        <v>6</v>
      </c>
      <c r="AJ18" s="1">
        <v>8</v>
      </c>
      <c r="AK18" s="1">
        <v>7</v>
      </c>
      <c r="AL18" s="1">
        <v>6</v>
      </c>
      <c r="AM18" s="4">
        <f>IFERROR((IniciativasIA[[#This Row],[Reach]]*IniciativasIA[[#This Row],[Impact]]*IniciativasIA[[#This Row],[Confidence]])/(IniciativasIA[[#This Row],[Effort]]*IniciativasIA[[#This Row],[AI Complexity]]/2),)</f>
        <v>13.714285714285714</v>
      </c>
      <c r="AN18" s="16">
        <f>(RANK(IniciativasIA[[#This Row],[RIC]],IniciativasIA[RIC],1)-1) / (COUNT(IniciativasIA[RIC])-1)</f>
        <v>0.39285714285714285</v>
      </c>
      <c r="AO18" s="9" t="s">
        <v>234</v>
      </c>
      <c r="AP18" s="9"/>
      <c r="AQ18" s="9" t="s">
        <v>96</v>
      </c>
      <c r="AR18" s="12"/>
      <c r="AS18" s="13">
        <v>46023</v>
      </c>
      <c r="AT18" s="13">
        <v>46011</v>
      </c>
      <c r="AU18" s="17">
        <v>46055</v>
      </c>
      <c r="AV18" s="17"/>
      <c r="AW18" s="17">
        <v>46087</v>
      </c>
      <c r="AX18" s="17"/>
      <c r="AY18" s="17"/>
      <c r="AZ18" s="17"/>
      <c r="BA18" s="5" t="s">
        <v>110</v>
      </c>
      <c r="BB18" s="5" t="s">
        <v>111</v>
      </c>
      <c r="BC18" s="5" t="str" cm="1">
        <f t="array" aca="1" ref="BC18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Priorización</v>
      </c>
      <c r="BD18" s="19"/>
      <c r="BE18" s="20"/>
      <c r="BF18" s="1"/>
      <c r="BG18" s="1"/>
      <c r="BH18" s="1"/>
      <c r="BI18" s="1" t="s">
        <v>235</v>
      </c>
      <c r="BJ18" s="1" t="s">
        <v>236</v>
      </c>
      <c r="BK18" s="1" t="s">
        <v>115</v>
      </c>
      <c r="BL18" s="1"/>
      <c r="BM18" s="1"/>
      <c r="BN18" s="1"/>
      <c r="BO18" s="1" t="s">
        <v>116</v>
      </c>
      <c r="BP18" s="5"/>
    </row>
    <row r="19" spans="1:68" x14ac:dyDescent="0.35">
      <c r="A19" s="9">
        <v>17</v>
      </c>
      <c r="B19" s="9" t="s">
        <v>237</v>
      </c>
      <c r="C19" s="9" t="s">
        <v>238</v>
      </c>
      <c r="D19" s="9" t="s">
        <v>239</v>
      </c>
      <c r="E19" s="9" t="s">
        <v>240</v>
      </c>
      <c r="F19" s="9" t="s">
        <v>81</v>
      </c>
      <c r="G19" s="10">
        <v>600</v>
      </c>
      <c r="H19" s="10"/>
      <c r="I19" s="9" t="s">
        <v>101</v>
      </c>
      <c r="J19" s="9" t="s">
        <v>19</v>
      </c>
      <c r="K19" s="11" t="s">
        <v>83</v>
      </c>
      <c r="L19" s="11"/>
      <c r="M19" s="11"/>
      <c r="N19" s="11"/>
      <c r="O19" s="9" t="s">
        <v>84</v>
      </c>
      <c r="P19" s="9" t="s">
        <v>85</v>
      </c>
      <c r="Q19" s="9">
        <f>IF(IniciativasIA[[#This Row],[Viabilidad]]="Alta",3,IF(IniciativasIA[[#This Row],[Viabilidad]]="Media",2,1))</f>
        <v>3</v>
      </c>
      <c r="R19" s="9" t="s">
        <v>241</v>
      </c>
      <c r="S19" s="9" t="s">
        <v>87</v>
      </c>
      <c r="T19" s="9"/>
      <c r="U19" s="9" t="s">
        <v>88</v>
      </c>
      <c r="V19" s="9" t="s">
        <v>89</v>
      </c>
      <c r="W19" s="9">
        <f>IF(IniciativasIA[[#This Row],[Complejidad]]="Alta",3,IF(IniciativasIA[[#This Row],[Complejidad]]="Media",2,1))</f>
        <v>2</v>
      </c>
      <c r="X19" s="9" t="s">
        <v>90</v>
      </c>
      <c r="Y19" s="9" t="s">
        <v>89</v>
      </c>
      <c r="Z19" s="9" t="s">
        <v>242</v>
      </c>
      <c r="AA19" s="9" t="s">
        <v>150</v>
      </c>
      <c r="AB19" s="9" t="s">
        <v>93</v>
      </c>
      <c r="AC19" s="10">
        <f t="shared" si="0"/>
        <v>60000.000000000007</v>
      </c>
      <c r="AD19" s="10"/>
      <c r="AE19" s="9" t="s">
        <v>121</v>
      </c>
      <c r="AF19" s="1">
        <v>4</v>
      </c>
      <c r="AG19" s="1">
        <v>8</v>
      </c>
      <c r="AH19" s="1">
        <v>6</v>
      </c>
      <c r="AI19" s="1">
        <v>5</v>
      </c>
      <c r="AJ19" s="1">
        <v>8</v>
      </c>
      <c r="AK19" s="1">
        <v>7</v>
      </c>
      <c r="AL19" s="1">
        <v>5</v>
      </c>
      <c r="AM19" s="4">
        <f>IFERROR((IniciativasIA[[#This Row],[Reach]]*IniciativasIA[[#This Row],[Impact]]*IniciativasIA[[#This Row],[Confidence]])/(IniciativasIA[[#This Row],[Effort]]*IniciativasIA[[#This Row],[AI Complexity]]/2),)</f>
        <v>13.714285714285714</v>
      </c>
      <c r="AN19" s="16">
        <f>(RANK(IniciativasIA[[#This Row],[RIC]],IniciativasIA[RIC],1)-1) / (COUNT(IniciativasIA[RIC])-1)</f>
        <v>0.39285714285714285</v>
      </c>
      <c r="AO19" s="9" t="s">
        <v>243</v>
      </c>
      <c r="AP19" s="9"/>
      <c r="AQ19" s="9" t="s">
        <v>96</v>
      </c>
      <c r="AR19" s="12"/>
      <c r="AS19" s="13">
        <v>46023</v>
      </c>
      <c r="AT19" s="13"/>
      <c r="AU19" s="17"/>
      <c r="AV19" s="17"/>
      <c r="AW19" s="17"/>
      <c r="AX19" s="17"/>
      <c r="AY19" s="17"/>
      <c r="AZ19" s="17"/>
      <c r="BA19" s="5"/>
      <c r="BB19" s="5"/>
      <c r="BC19" s="5" t="str" cm="1">
        <f t="array" aca="1" ref="BC19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19" s="19" t="str" cm="1">
        <f t="array" aca="1" ref="BD19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19" s="20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5"/>
    </row>
    <row r="20" spans="1:68" x14ac:dyDescent="0.35">
      <c r="A20" s="9">
        <v>18</v>
      </c>
      <c r="B20" s="9" t="s">
        <v>244</v>
      </c>
      <c r="C20" s="9" t="s">
        <v>245</v>
      </c>
      <c r="D20" s="9" t="s">
        <v>239</v>
      </c>
      <c r="E20" s="9" t="s">
        <v>246</v>
      </c>
      <c r="F20" s="9" t="s">
        <v>81</v>
      </c>
      <c r="G20" s="10">
        <v>2000</v>
      </c>
      <c r="H20" s="10"/>
      <c r="I20" s="9" t="s">
        <v>182</v>
      </c>
      <c r="J20" s="9" t="s">
        <v>21</v>
      </c>
      <c r="K20" s="11"/>
      <c r="L20" s="11"/>
      <c r="M20" s="11"/>
      <c r="N20" s="11" t="s">
        <v>83</v>
      </c>
      <c r="O20" s="9" t="s">
        <v>84</v>
      </c>
      <c r="P20" s="9" t="s">
        <v>85</v>
      </c>
      <c r="Q20" s="9">
        <f>IF(IniciativasIA[[#This Row],[Viabilidad]]="Alta",3,IF(IniciativasIA[[#This Row],[Viabilidad]]="Media",2,1))</f>
        <v>3</v>
      </c>
      <c r="R20" s="9" t="s">
        <v>247</v>
      </c>
      <c r="S20" s="9" t="s">
        <v>87</v>
      </c>
      <c r="T20" s="9"/>
      <c r="U20" s="9" t="s">
        <v>88</v>
      </c>
      <c r="V20" s="9" t="s">
        <v>89</v>
      </c>
      <c r="W20" s="9">
        <f>IF(IniciativasIA[[#This Row],[Complejidad]]="Alta",3,IF(IniciativasIA[[#This Row],[Complejidad]]="Media",2,1))</f>
        <v>2</v>
      </c>
      <c r="X20" s="9" t="s">
        <v>134</v>
      </c>
      <c r="Y20" s="9" t="s">
        <v>89</v>
      </c>
      <c r="Z20" s="9" t="s">
        <v>105</v>
      </c>
      <c r="AA20" s="9" t="s">
        <v>106</v>
      </c>
      <c r="AB20" s="9" t="s">
        <v>93</v>
      </c>
      <c r="AC20" s="10">
        <f t="shared" si="0"/>
        <v>200000</v>
      </c>
      <c r="AD20" s="10"/>
      <c r="AE20" s="9" t="s">
        <v>85</v>
      </c>
      <c r="AF20" s="1">
        <v>6</v>
      </c>
      <c r="AG20" s="1">
        <v>7</v>
      </c>
      <c r="AH20" s="1">
        <v>6</v>
      </c>
      <c r="AI20" s="1">
        <v>8</v>
      </c>
      <c r="AJ20" s="1">
        <v>8</v>
      </c>
      <c r="AK20" s="1">
        <v>5</v>
      </c>
      <c r="AL20" s="1">
        <v>5</v>
      </c>
      <c r="AM20" s="4">
        <f>IFERROR((IniciativasIA[[#This Row],[Reach]]*IniciativasIA[[#This Row],[Impact]]*IniciativasIA[[#This Row],[Confidence]])/(IniciativasIA[[#This Row],[Effort]]*IniciativasIA[[#This Row],[AI Complexity]]/2),)</f>
        <v>30.72</v>
      </c>
      <c r="AN20" s="16">
        <f>(RANK(IniciativasIA[[#This Row],[RIC]],IniciativasIA[RIC],1)-1) / (COUNT(IniciativasIA[RIC])-1)</f>
        <v>0.8035714285714286</v>
      </c>
      <c r="AO20" s="9" t="s">
        <v>248</v>
      </c>
      <c r="AP20" s="9"/>
      <c r="AQ20" s="9" t="s">
        <v>249</v>
      </c>
      <c r="AR20" s="12"/>
      <c r="AS20" s="13">
        <v>46023</v>
      </c>
      <c r="AT20" s="13"/>
      <c r="AU20" s="17"/>
      <c r="AV20" s="17"/>
      <c r="AW20" s="17"/>
      <c r="AX20" s="17"/>
      <c r="AY20" s="17"/>
      <c r="AZ20" s="17"/>
      <c r="BA20" s="5"/>
      <c r="BB20" s="5"/>
      <c r="BC20" s="5" t="str" cm="1">
        <f t="array" aca="1" ref="BC20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20" s="19" t="str" cm="1">
        <f t="array" aca="1" ref="BD20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20" s="20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5"/>
    </row>
    <row r="21" spans="1:68" x14ac:dyDescent="0.35">
      <c r="A21" s="9">
        <v>19</v>
      </c>
      <c r="B21" s="9" t="s">
        <v>250</v>
      </c>
      <c r="C21" s="9" t="s">
        <v>251</v>
      </c>
      <c r="D21" s="9" t="s">
        <v>239</v>
      </c>
      <c r="E21" s="9" t="s">
        <v>100</v>
      </c>
      <c r="F21" s="9" t="s">
        <v>81</v>
      </c>
      <c r="G21" s="10">
        <v>2000</v>
      </c>
      <c r="H21" s="10"/>
      <c r="I21" s="9" t="s">
        <v>252</v>
      </c>
      <c r="J21" s="9" t="s">
        <v>20</v>
      </c>
      <c r="K21" s="11"/>
      <c r="L21" s="11" t="s">
        <v>83</v>
      </c>
      <c r="M21" s="11"/>
      <c r="N21" s="11"/>
      <c r="O21" s="9" t="s">
        <v>84</v>
      </c>
      <c r="P21" s="9" t="s">
        <v>89</v>
      </c>
      <c r="Q21" s="9">
        <f>IF(IniciativasIA[[#This Row],[Viabilidad]]="Alta",3,IF(IniciativasIA[[#This Row],[Viabilidad]]="Media",2,1))</f>
        <v>2</v>
      </c>
      <c r="R21" s="9" t="s">
        <v>253</v>
      </c>
      <c r="S21" s="9" t="s">
        <v>87</v>
      </c>
      <c r="T21" s="9"/>
      <c r="U21" s="9" t="s">
        <v>88</v>
      </c>
      <c r="V21" s="9" t="s">
        <v>89</v>
      </c>
      <c r="W21" s="9">
        <f>IF(IniciativasIA[[#This Row],[Complejidad]]="Alta",3,IF(IniciativasIA[[#This Row],[Complejidad]]="Media",2,1))</f>
        <v>2</v>
      </c>
      <c r="X21" s="9" t="s">
        <v>90</v>
      </c>
      <c r="Y21" s="9" t="s">
        <v>89</v>
      </c>
      <c r="Z21" s="9" t="s">
        <v>254</v>
      </c>
      <c r="AA21" s="9" t="s">
        <v>150</v>
      </c>
      <c r="AB21" s="9" t="s">
        <v>151</v>
      </c>
      <c r="AC21" s="10">
        <f>G21*0.0001*10000</f>
        <v>2000</v>
      </c>
      <c r="AD21" s="10"/>
      <c r="AE21" s="9" t="s">
        <v>121</v>
      </c>
      <c r="AF21" s="1">
        <v>6</v>
      </c>
      <c r="AG21" s="1">
        <v>5</v>
      </c>
      <c r="AH21" s="1">
        <v>6</v>
      </c>
      <c r="AI21" s="1">
        <v>5</v>
      </c>
      <c r="AJ21" s="1">
        <v>6</v>
      </c>
      <c r="AK21" s="1">
        <v>7</v>
      </c>
      <c r="AL21" s="1">
        <v>9</v>
      </c>
      <c r="AM21" s="4">
        <f>IFERROR((IniciativasIA[[#This Row],[Reach]]*IniciativasIA[[#This Row],[Impact]]*IniciativasIA[[#This Row],[Confidence]])/(IniciativasIA[[#This Row],[Effort]]*IniciativasIA[[#This Row],[AI Complexity]]/2),)</f>
        <v>5.7142857142857144</v>
      </c>
      <c r="AN21" s="16">
        <f>(RANK(IniciativasIA[[#This Row],[RIC]],IniciativasIA[RIC],1)-1) / (COUNT(IniciativasIA[RIC])-1)</f>
        <v>0.25</v>
      </c>
      <c r="AO21" s="9" t="s">
        <v>255</v>
      </c>
      <c r="AP21" s="9"/>
      <c r="AQ21" s="9" t="s">
        <v>96</v>
      </c>
      <c r="AR21" s="12"/>
      <c r="AS21" s="13">
        <v>46023</v>
      </c>
      <c r="AT21" s="13"/>
      <c r="AU21" s="17"/>
      <c r="AV21" s="17"/>
      <c r="AW21" s="17"/>
      <c r="AX21" s="17"/>
      <c r="AY21" s="17"/>
      <c r="AZ21" s="17"/>
      <c r="BA21" s="5"/>
      <c r="BB21" s="5"/>
      <c r="BC21" s="5" t="str" cm="1">
        <f t="array" aca="1" ref="BC21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21" s="19" t="str" cm="1">
        <f t="array" aca="1" ref="BD21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21" s="20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5"/>
    </row>
    <row r="22" spans="1:68" x14ac:dyDescent="0.35">
      <c r="A22" s="9">
        <v>20</v>
      </c>
      <c r="B22" s="9" t="s">
        <v>256</v>
      </c>
      <c r="C22" s="9" t="s">
        <v>257</v>
      </c>
      <c r="D22" s="9" t="s">
        <v>239</v>
      </c>
      <c r="E22" s="9" t="s">
        <v>239</v>
      </c>
      <c r="F22" s="9" t="s">
        <v>81</v>
      </c>
      <c r="G22" s="10">
        <v>2000</v>
      </c>
      <c r="H22" s="10"/>
      <c r="I22" s="9" t="s">
        <v>258</v>
      </c>
      <c r="J22" s="9" t="s">
        <v>19</v>
      </c>
      <c r="K22" s="11" t="s">
        <v>83</v>
      </c>
      <c r="L22" s="11"/>
      <c r="M22" s="11"/>
      <c r="N22" s="11"/>
      <c r="O22" s="9" t="s">
        <v>84</v>
      </c>
      <c r="P22" s="9" t="s">
        <v>121</v>
      </c>
      <c r="Q22" s="9">
        <f>IF(IniciativasIA[[#This Row],[Viabilidad]]="Alta",3,IF(IniciativasIA[[#This Row],[Viabilidad]]="Media",2,1))</f>
        <v>1</v>
      </c>
      <c r="R22" s="9" t="s">
        <v>259</v>
      </c>
      <c r="S22" s="9" t="s">
        <v>87</v>
      </c>
      <c r="T22" s="9"/>
      <c r="U22" s="9" t="s">
        <v>120</v>
      </c>
      <c r="V22" s="9" t="s">
        <v>89</v>
      </c>
      <c r="W22" s="9">
        <f>IF(IniciativasIA[[#This Row],[Complejidad]]="Alta",3,IF(IniciativasIA[[#This Row],[Complejidad]]="Media",2,1))</f>
        <v>2</v>
      </c>
      <c r="X22" s="9" t="s">
        <v>122</v>
      </c>
      <c r="Y22" s="9" t="s">
        <v>121</v>
      </c>
      <c r="Z22" s="9" t="s">
        <v>216</v>
      </c>
      <c r="AA22" s="9" t="s">
        <v>92</v>
      </c>
      <c r="AB22" s="9" t="s">
        <v>93</v>
      </c>
      <c r="AC22" s="10">
        <f t="shared" si="0"/>
        <v>200000</v>
      </c>
      <c r="AD22" s="10"/>
      <c r="AE22" s="9" t="s">
        <v>85</v>
      </c>
      <c r="AF22" s="1">
        <v>8</v>
      </c>
      <c r="AG22" s="1">
        <v>6</v>
      </c>
      <c r="AH22" s="1">
        <v>6</v>
      </c>
      <c r="AI22" s="1">
        <v>8</v>
      </c>
      <c r="AJ22" s="1">
        <v>5</v>
      </c>
      <c r="AK22" s="1">
        <v>9</v>
      </c>
      <c r="AL22" s="1">
        <v>5</v>
      </c>
      <c r="AM22" s="4">
        <f>IFERROR((IniciativasIA[[#This Row],[Reach]]*IniciativasIA[[#This Row],[Impact]]*IniciativasIA[[#This Row],[Confidence]])/(IniciativasIA[[#This Row],[Effort]]*IniciativasIA[[#This Row],[AI Complexity]]/2),)</f>
        <v>10.666666666666666</v>
      </c>
      <c r="AN22" s="16">
        <f>(RANK(IniciativasIA[[#This Row],[RIC]],IniciativasIA[RIC],1)-1) / (COUNT(IniciativasIA[RIC])-1)</f>
        <v>0.32142857142857145</v>
      </c>
      <c r="AO22" s="9" t="s">
        <v>260</v>
      </c>
      <c r="AP22" s="9"/>
      <c r="AQ22" s="9" t="s">
        <v>96</v>
      </c>
      <c r="AR22" s="12"/>
      <c r="AS22" s="13">
        <v>46023</v>
      </c>
      <c r="AT22" s="13"/>
      <c r="AU22" s="17"/>
      <c r="AV22" s="17"/>
      <c r="AW22" s="17"/>
      <c r="AX22" s="17"/>
      <c r="AY22" s="17"/>
      <c r="AZ22" s="17"/>
      <c r="BA22" s="5"/>
      <c r="BB22" s="5"/>
      <c r="BC22" s="5" t="str" cm="1">
        <f t="array" aca="1" ref="BC22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22" s="19" t="str" cm="1">
        <f t="array" aca="1" ref="BD22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22" s="20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5"/>
    </row>
    <row r="23" spans="1:68" x14ac:dyDescent="0.35">
      <c r="A23" s="9">
        <v>21</v>
      </c>
      <c r="B23" s="9" t="s">
        <v>261</v>
      </c>
      <c r="C23" s="9" t="s">
        <v>262</v>
      </c>
      <c r="D23" s="9" t="s">
        <v>239</v>
      </c>
      <c r="E23" s="9" t="s">
        <v>239</v>
      </c>
      <c r="F23" s="9" t="s">
        <v>81</v>
      </c>
      <c r="G23" s="10">
        <v>2000</v>
      </c>
      <c r="H23" s="10"/>
      <c r="I23" s="9" t="s">
        <v>182</v>
      </c>
      <c r="J23" s="9" t="s">
        <v>22</v>
      </c>
      <c r="K23" s="11"/>
      <c r="L23" s="11"/>
      <c r="M23" s="11"/>
      <c r="N23" s="11" t="s">
        <v>83</v>
      </c>
      <c r="O23" s="9" t="s">
        <v>84</v>
      </c>
      <c r="P23" s="9" t="s">
        <v>89</v>
      </c>
      <c r="Q23" s="9">
        <f>IF(IniciativasIA[[#This Row],[Viabilidad]]="Alta",3,IF(IniciativasIA[[#This Row],[Viabilidad]]="Media",2,1))</f>
        <v>2</v>
      </c>
      <c r="R23" s="9" t="s">
        <v>263</v>
      </c>
      <c r="S23" s="9" t="s">
        <v>87</v>
      </c>
      <c r="T23" s="9"/>
      <c r="U23" s="9" t="s">
        <v>88</v>
      </c>
      <c r="V23" s="9" t="s">
        <v>89</v>
      </c>
      <c r="W23" s="9">
        <f>IF(IniciativasIA[[#This Row],[Complejidad]]="Alta",3,IF(IniciativasIA[[#This Row],[Complejidad]]="Media",2,1))</f>
        <v>2</v>
      </c>
      <c r="X23" s="9" t="s">
        <v>134</v>
      </c>
      <c r="Y23" s="9" t="s">
        <v>89</v>
      </c>
      <c r="Z23" s="9" t="s">
        <v>264</v>
      </c>
      <c r="AA23" s="9" t="s">
        <v>150</v>
      </c>
      <c r="AB23" s="9" t="s">
        <v>151</v>
      </c>
      <c r="AC23" s="10">
        <f t="shared" si="0"/>
        <v>200000</v>
      </c>
      <c r="AD23" s="10"/>
      <c r="AE23" s="9" t="s">
        <v>121</v>
      </c>
      <c r="AF23" s="1">
        <v>5</v>
      </c>
      <c r="AG23" s="1">
        <v>6</v>
      </c>
      <c r="AH23" s="1">
        <v>6</v>
      </c>
      <c r="AI23" s="1">
        <v>5</v>
      </c>
      <c r="AJ23" s="1">
        <v>6</v>
      </c>
      <c r="AK23" s="1">
        <v>5</v>
      </c>
      <c r="AL23" s="1">
        <v>5</v>
      </c>
      <c r="AM23" s="4">
        <f>IFERROR((IniciativasIA[[#This Row],[Reach]]*IniciativasIA[[#This Row],[Impact]]*IniciativasIA[[#This Row],[Confidence]])/(IniciativasIA[[#This Row],[Effort]]*IniciativasIA[[#This Row],[AI Complexity]]/2),)</f>
        <v>14.4</v>
      </c>
      <c r="AN23" s="16">
        <f>(RANK(IniciativasIA[[#This Row],[RIC]],IniciativasIA[RIC],1)-1) / (COUNT(IniciativasIA[RIC])-1)</f>
        <v>0.42857142857142855</v>
      </c>
      <c r="AO23" s="9" t="s">
        <v>265</v>
      </c>
      <c r="AP23" s="9"/>
      <c r="AQ23" s="9" t="s">
        <v>96</v>
      </c>
      <c r="AR23" s="12"/>
      <c r="AS23" s="13">
        <v>46023</v>
      </c>
      <c r="AT23" s="13"/>
      <c r="AU23" s="17"/>
      <c r="AV23" s="17"/>
      <c r="AW23" s="17"/>
      <c r="AX23" s="17"/>
      <c r="AY23" s="17"/>
      <c r="AZ23" s="17"/>
      <c r="BA23" s="5"/>
      <c r="BB23" s="5"/>
      <c r="BC23" s="5" t="str" cm="1">
        <f t="array" aca="1" ref="BC23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23" s="19" t="str" cm="1">
        <f t="array" aca="1" ref="BD23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23" s="20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5"/>
    </row>
    <row r="24" spans="1:68" x14ac:dyDescent="0.35">
      <c r="A24" s="9">
        <v>22</v>
      </c>
      <c r="B24" s="9" t="s">
        <v>266</v>
      </c>
      <c r="C24" s="9" t="s">
        <v>267</v>
      </c>
      <c r="D24" s="9" t="s">
        <v>239</v>
      </c>
      <c r="E24" s="9" t="s">
        <v>268</v>
      </c>
      <c r="F24" s="9" t="s">
        <v>213</v>
      </c>
      <c r="G24" s="10">
        <v>200</v>
      </c>
      <c r="H24" s="10"/>
      <c r="I24" s="9" t="s">
        <v>205</v>
      </c>
      <c r="J24" s="9" t="s">
        <v>22</v>
      </c>
      <c r="K24" s="11"/>
      <c r="L24" s="11"/>
      <c r="M24" s="11"/>
      <c r="N24" s="11" t="s">
        <v>83</v>
      </c>
      <c r="O24" s="9" t="s">
        <v>84</v>
      </c>
      <c r="P24" s="9" t="s">
        <v>85</v>
      </c>
      <c r="Q24" s="9">
        <f>IF(IniciativasIA[[#This Row],[Viabilidad]]="Alta",3,IF(IniciativasIA[[#This Row],[Viabilidad]]="Media",2,1))</f>
        <v>3</v>
      </c>
      <c r="R24" s="9" t="s">
        <v>269</v>
      </c>
      <c r="S24" s="9" t="s">
        <v>87</v>
      </c>
      <c r="T24" s="9"/>
      <c r="U24" s="9" t="s">
        <v>103</v>
      </c>
      <c r="V24" s="9" t="s">
        <v>85</v>
      </c>
      <c r="W24" s="9">
        <f>IF(IniciativasIA[[#This Row],[Complejidad]]="Alta",3,IF(IniciativasIA[[#This Row],[Complejidad]]="Media",2,1))</f>
        <v>3</v>
      </c>
      <c r="X24" s="9" t="s">
        <v>104</v>
      </c>
      <c r="Y24" s="9" t="s">
        <v>89</v>
      </c>
      <c r="Z24" s="9" t="s">
        <v>270</v>
      </c>
      <c r="AA24" s="9" t="s">
        <v>92</v>
      </c>
      <c r="AB24" s="9" t="s">
        <v>151</v>
      </c>
      <c r="AC24" s="10">
        <f>G24*0.001*1000000</f>
        <v>200000</v>
      </c>
      <c r="AD24" s="10"/>
      <c r="AE24" s="9" t="s">
        <v>121</v>
      </c>
      <c r="AF24" s="1">
        <v>5</v>
      </c>
      <c r="AG24" s="1">
        <v>4</v>
      </c>
      <c r="AH24" s="1">
        <v>6</v>
      </c>
      <c r="AI24" s="1">
        <v>5</v>
      </c>
      <c r="AJ24" s="1">
        <v>8</v>
      </c>
      <c r="AK24" s="1">
        <v>3</v>
      </c>
      <c r="AL24" s="1">
        <v>4</v>
      </c>
      <c r="AM24" s="4">
        <f>IFERROR((IniciativasIA[[#This Row],[Reach]]*IniciativasIA[[#This Row],[Impact]]*IniciativasIA[[#This Row],[Confidence]])/(IniciativasIA[[#This Row],[Effort]]*IniciativasIA[[#This Row],[AI Complexity]]/2),)</f>
        <v>40</v>
      </c>
      <c r="AN24" s="16">
        <f>(RANK(IniciativasIA[[#This Row],[RIC]],IniciativasIA[RIC],1)-1) / (COUNT(IniciativasIA[RIC])-1)</f>
        <v>0.9464285714285714</v>
      </c>
      <c r="AO24" s="9" t="s">
        <v>271</v>
      </c>
      <c r="AP24" s="9" t="s">
        <v>109</v>
      </c>
      <c r="AQ24" s="9" t="s">
        <v>96</v>
      </c>
      <c r="AR24" s="12"/>
      <c r="AS24" s="13">
        <v>46023</v>
      </c>
      <c r="AT24" s="13"/>
      <c r="AU24" s="17"/>
      <c r="AV24" s="17"/>
      <c r="AW24" s="17"/>
      <c r="AX24" s="17"/>
      <c r="AY24" s="17"/>
      <c r="AZ24" s="17"/>
      <c r="BA24" s="5"/>
      <c r="BB24" s="5"/>
      <c r="BC24" s="5" t="str" cm="1">
        <f t="array" aca="1" ref="BC24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24" s="19" t="str" cm="1">
        <f t="array" aca="1" ref="BD24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24" s="20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5"/>
    </row>
    <row r="25" spans="1:68" x14ac:dyDescent="0.35">
      <c r="A25" s="9">
        <v>23</v>
      </c>
      <c r="B25" s="9" t="s">
        <v>272</v>
      </c>
      <c r="C25" s="9" t="s">
        <v>273</v>
      </c>
      <c r="D25" s="9" t="s">
        <v>239</v>
      </c>
      <c r="E25" s="9" t="s">
        <v>203</v>
      </c>
      <c r="F25" s="9" t="s">
        <v>204</v>
      </c>
      <c r="G25" s="10">
        <v>17000</v>
      </c>
      <c r="H25" s="10"/>
      <c r="I25" s="9" t="s">
        <v>82</v>
      </c>
      <c r="J25" s="9" t="s">
        <v>21</v>
      </c>
      <c r="K25" s="11"/>
      <c r="L25" s="11" t="s">
        <v>83</v>
      </c>
      <c r="M25" s="11" t="s">
        <v>83</v>
      </c>
      <c r="N25" s="11"/>
      <c r="O25" s="9" t="s">
        <v>84</v>
      </c>
      <c r="P25" s="9" t="s">
        <v>85</v>
      </c>
      <c r="Q25" s="9">
        <f>IF(IniciativasIA[[#This Row],[Viabilidad]]="Alta",3,IF(IniciativasIA[[#This Row],[Viabilidad]]="Media",2,1))</f>
        <v>3</v>
      </c>
      <c r="R25" s="9" t="s">
        <v>274</v>
      </c>
      <c r="S25" s="9" t="s">
        <v>87</v>
      </c>
      <c r="T25" s="9"/>
      <c r="U25" s="9" t="s">
        <v>120</v>
      </c>
      <c r="V25" s="9" t="s">
        <v>121</v>
      </c>
      <c r="W25" s="9">
        <f>IF(IniciativasIA[[#This Row],[Complejidad]]="Alta",3,IF(IniciativasIA[[#This Row],[Complejidad]]="Media",2,1))</f>
        <v>1</v>
      </c>
      <c r="X25" s="9" t="s">
        <v>122</v>
      </c>
      <c r="Y25" s="9" t="s">
        <v>121</v>
      </c>
      <c r="Z25" s="9" t="s">
        <v>216</v>
      </c>
      <c r="AA25" s="9" t="s">
        <v>92</v>
      </c>
      <c r="AB25" s="9" t="s">
        <v>93</v>
      </c>
      <c r="AC25" s="10">
        <f>G25*0.001*1000000</f>
        <v>17000000</v>
      </c>
      <c r="AD25" s="10"/>
      <c r="AE25" s="9" t="s">
        <v>89</v>
      </c>
      <c r="AF25" s="1">
        <v>7</v>
      </c>
      <c r="AG25" s="1">
        <v>8</v>
      </c>
      <c r="AH25" s="1">
        <v>6</v>
      </c>
      <c r="AI25" s="1">
        <v>6</v>
      </c>
      <c r="AJ25" s="1">
        <v>8</v>
      </c>
      <c r="AK25" s="1">
        <v>9</v>
      </c>
      <c r="AL25" s="1">
        <v>5</v>
      </c>
      <c r="AM25" s="4">
        <f>IFERROR((IniciativasIA[[#This Row],[Reach]]*IniciativasIA[[#This Row],[Impact]]*IniciativasIA[[#This Row],[Confidence]])/(IniciativasIA[[#This Row],[Effort]]*IniciativasIA[[#This Row],[AI Complexity]]/2),)</f>
        <v>12.8</v>
      </c>
      <c r="AN25" s="16">
        <f>(RANK(IniciativasIA[[#This Row],[RIC]],IniciativasIA[RIC],1)-1) / (COUNT(IniciativasIA[RIC])-1)</f>
        <v>0.35714285714285715</v>
      </c>
      <c r="AO25" s="9" t="s">
        <v>275</v>
      </c>
      <c r="AP25" s="9"/>
      <c r="AQ25" s="9" t="s">
        <v>96</v>
      </c>
      <c r="AR25" s="12"/>
      <c r="AS25" s="13">
        <v>46023</v>
      </c>
      <c r="AT25" s="13"/>
      <c r="AU25" s="17"/>
      <c r="AV25" s="17"/>
      <c r="AW25" s="17"/>
      <c r="AX25" s="17"/>
      <c r="AY25" s="17"/>
      <c r="AZ25" s="17"/>
      <c r="BA25" s="5"/>
      <c r="BB25" s="5"/>
      <c r="BC25" s="5" t="str" cm="1">
        <f t="array" aca="1" ref="BC25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25" s="19" t="str" cm="1">
        <f t="array" aca="1" ref="BD25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25" s="20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5"/>
    </row>
    <row r="26" spans="1:68" x14ac:dyDescent="0.35">
      <c r="A26" s="9">
        <v>24</v>
      </c>
      <c r="B26" s="9" t="s">
        <v>276</v>
      </c>
      <c r="C26" s="9" t="s">
        <v>277</v>
      </c>
      <c r="D26" s="9" t="s">
        <v>239</v>
      </c>
      <c r="E26" s="9" t="s">
        <v>278</v>
      </c>
      <c r="F26" s="9" t="s">
        <v>279</v>
      </c>
      <c r="G26" s="10">
        <v>7800</v>
      </c>
      <c r="H26" s="10"/>
      <c r="I26" s="9" t="s">
        <v>252</v>
      </c>
      <c r="J26" s="9" t="s">
        <v>20</v>
      </c>
      <c r="K26" s="11"/>
      <c r="L26" s="11" t="s">
        <v>83</v>
      </c>
      <c r="M26" s="11"/>
      <c r="N26" s="11"/>
      <c r="O26" s="9" t="s">
        <v>147</v>
      </c>
      <c r="P26" s="9" t="s">
        <v>85</v>
      </c>
      <c r="Q26" s="9">
        <f>IF(IniciativasIA[[#This Row],[Viabilidad]]="Alta",3,IF(IniciativasIA[[#This Row],[Viabilidad]]="Media",2,1))</f>
        <v>3</v>
      </c>
      <c r="R26" s="9" t="s">
        <v>280</v>
      </c>
      <c r="S26" s="9" t="s">
        <v>87</v>
      </c>
      <c r="T26" s="9"/>
      <c r="U26" s="9" t="s">
        <v>103</v>
      </c>
      <c r="V26" s="9" t="s">
        <v>85</v>
      </c>
      <c r="W26" s="9">
        <f>IF(IniciativasIA[[#This Row],[Complejidad]]="Alta",3,IF(IniciativasIA[[#This Row],[Complejidad]]="Media",2,1))</f>
        <v>3</v>
      </c>
      <c r="X26" s="9" t="s">
        <v>104</v>
      </c>
      <c r="Y26" s="9" t="s">
        <v>89</v>
      </c>
      <c r="Z26" s="9" t="s">
        <v>281</v>
      </c>
      <c r="AA26" s="9" t="s">
        <v>150</v>
      </c>
      <c r="AB26" s="9" t="s">
        <v>93</v>
      </c>
      <c r="AC26" s="10">
        <f t="shared" si="0"/>
        <v>780000</v>
      </c>
      <c r="AD26" s="10"/>
      <c r="AE26" s="9" t="s">
        <v>89</v>
      </c>
      <c r="AF26" s="1">
        <v>5</v>
      </c>
      <c r="AG26" s="1">
        <v>3</v>
      </c>
      <c r="AH26" s="1">
        <v>6</v>
      </c>
      <c r="AI26" s="1">
        <v>6</v>
      </c>
      <c r="AJ26" s="1">
        <v>8</v>
      </c>
      <c r="AK26" s="1">
        <v>3</v>
      </c>
      <c r="AL26" s="1">
        <v>9</v>
      </c>
      <c r="AM26" s="4">
        <f>IFERROR((IniciativasIA[[#This Row],[Reach]]*IniciativasIA[[#This Row],[Impact]]*IniciativasIA[[#This Row],[Confidence]])/(IniciativasIA[[#This Row],[Effort]]*IniciativasIA[[#This Row],[AI Complexity]]/2),)</f>
        <v>21.333333333333332</v>
      </c>
      <c r="AN26" s="16">
        <f>(RANK(IniciativasIA[[#This Row],[RIC]],IniciativasIA[RIC],1)-1) / (COUNT(IniciativasIA[RIC])-1)</f>
        <v>0.6071428571428571</v>
      </c>
      <c r="AO26" s="9" t="s">
        <v>282</v>
      </c>
      <c r="AP26" s="9" t="s">
        <v>109</v>
      </c>
      <c r="AQ26" s="9" t="s">
        <v>283</v>
      </c>
      <c r="AR26" s="12"/>
      <c r="AS26" s="13">
        <v>46023</v>
      </c>
      <c r="AT26" s="13"/>
      <c r="AU26" s="17"/>
      <c r="AV26" s="17"/>
      <c r="AW26" s="17"/>
      <c r="AX26" s="17"/>
      <c r="AY26" s="17"/>
      <c r="AZ26" s="17"/>
      <c r="BA26" s="5"/>
      <c r="BB26" s="5"/>
      <c r="BC26" s="5" t="str" cm="1">
        <f t="array" aca="1" ref="BC26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26" s="19" t="str" cm="1">
        <f t="array" aca="1" ref="BD26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26" s="20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5"/>
    </row>
    <row r="27" spans="1:68" x14ac:dyDescent="0.35">
      <c r="A27" s="9">
        <v>25</v>
      </c>
      <c r="B27" s="9" t="s">
        <v>284</v>
      </c>
      <c r="C27" s="9" t="s">
        <v>285</v>
      </c>
      <c r="D27" s="9" t="s">
        <v>239</v>
      </c>
      <c r="E27" s="9" t="s">
        <v>278</v>
      </c>
      <c r="F27" s="9" t="s">
        <v>279</v>
      </c>
      <c r="G27" s="10">
        <v>7800</v>
      </c>
      <c r="H27" s="10"/>
      <c r="I27" s="9" t="s">
        <v>82</v>
      </c>
      <c r="J27" s="9" t="s">
        <v>21</v>
      </c>
      <c r="K27" s="11"/>
      <c r="L27" s="11" t="s">
        <v>83</v>
      </c>
      <c r="M27" s="11" t="s">
        <v>83</v>
      </c>
      <c r="N27" s="11"/>
      <c r="O27" s="9" t="s">
        <v>147</v>
      </c>
      <c r="P27" s="9" t="s">
        <v>89</v>
      </c>
      <c r="Q27" s="9">
        <f>IF(IniciativasIA[[#This Row],[Viabilidad]]="Alta",3,IF(IniciativasIA[[#This Row],[Viabilidad]]="Media",2,1))</f>
        <v>2</v>
      </c>
      <c r="R27" s="9" t="s">
        <v>286</v>
      </c>
      <c r="S27" s="9" t="s">
        <v>87</v>
      </c>
      <c r="T27" s="9"/>
      <c r="U27" s="9" t="s">
        <v>103</v>
      </c>
      <c r="V27" s="9" t="s">
        <v>85</v>
      </c>
      <c r="W27" s="9">
        <f>IF(IniciativasIA[[#This Row],[Complejidad]]="Alta",3,IF(IniciativasIA[[#This Row],[Complejidad]]="Media",2,1))</f>
        <v>3</v>
      </c>
      <c r="X27" s="9" t="s">
        <v>104</v>
      </c>
      <c r="Y27" s="9" t="s">
        <v>89</v>
      </c>
      <c r="Z27" s="9" t="s">
        <v>287</v>
      </c>
      <c r="AA27" s="9" t="s">
        <v>150</v>
      </c>
      <c r="AB27" s="9" t="s">
        <v>93</v>
      </c>
      <c r="AC27" s="10">
        <f t="shared" si="0"/>
        <v>780000</v>
      </c>
      <c r="AD27" s="10"/>
      <c r="AE27" s="9" t="s">
        <v>85</v>
      </c>
      <c r="AF27" s="1">
        <v>8</v>
      </c>
      <c r="AG27" s="1">
        <v>4</v>
      </c>
      <c r="AH27" s="1">
        <v>6</v>
      </c>
      <c r="AI27" s="1">
        <v>8</v>
      </c>
      <c r="AJ27" s="1">
        <v>6</v>
      </c>
      <c r="AK27" s="1">
        <v>3</v>
      </c>
      <c r="AL27" s="1">
        <v>5</v>
      </c>
      <c r="AM27" s="4">
        <f>IFERROR((IniciativasIA[[#This Row],[Reach]]*IniciativasIA[[#This Row],[Impact]]*IniciativasIA[[#This Row],[Confidence]])/(IniciativasIA[[#This Row],[Effort]]*IniciativasIA[[#This Row],[AI Complexity]]/2),)</f>
        <v>38.4</v>
      </c>
      <c r="AN27" s="16">
        <f>(RANK(IniciativasIA[[#This Row],[RIC]],IniciativasIA[RIC],1)-1) / (COUNT(IniciativasIA[RIC])-1)</f>
        <v>0.9107142857142857</v>
      </c>
      <c r="AO27" s="9" t="s">
        <v>288</v>
      </c>
      <c r="AP27" s="9" t="s">
        <v>109</v>
      </c>
      <c r="AQ27" s="9" t="s">
        <v>283</v>
      </c>
      <c r="AR27" s="12"/>
      <c r="AS27" s="13">
        <v>46023</v>
      </c>
      <c r="AT27" s="13"/>
      <c r="AU27" s="17"/>
      <c r="AV27" s="17"/>
      <c r="AW27" s="17"/>
      <c r="AX27" s="17"/>
      <c r="AY27" s="17"/>
      <c r="AZ27" s="17"/>
      <c r="BA27" s="5"/>
      <c r="BB27" s="5"/>
      <c r="BC27" s="5" t="str" cm="1">
        <f t="array" aca="1" ref="BC27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27" s="19" t="str" cm="1">
        <f t="array" aca="1" ref="BD27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27" s="20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5"/>
    </row>
    <row r="28" spans="1:68" x14ac:dyDescent="0.35">
      <c r="A28" s="9">
        <v>26</v>
      </c>
      <c r="B28" s="9" t="s">
        <v>289</v>
      </c>
      <c r="C28" s="9" t="s">
        <v>290</v>
      </c>
      <c r="D28" s="9" t="s">
        <v>239</v>
      </c>
      <c r="E28" s="9" t="s">
        <v>278</v>
      </c>
      <c r="F28" s="9" t="s">
        <v>279</v>
      </c>
      <c r="G28" s="10">
        <v>7800</v>
      </c>
      <c r="H28" s="10"/>
      <c r="I28" s="9" t="s">
        <v>101</v>
      </c>
      <c r="J28" s="9" t="s">
        <v>20</v>
      </c>
      <c r="K28" s="11"/>
      <c r="L28" s="11" t="s">
        <v>83</v>
      </c>
      <c r="M28" s="11" t="s">
        <v>83</v>
      </c>
      <c r="N28" s="11"/>
      <c r="O28" s="9" t="s">
        <v>147</v>
      </c>
      <c r="P28" s="9" t="s">
        <v>85</v>
      </c>
      <c r="Q28" s="9">
        <f>IF(IniciativasIA[[#This Row],[Viabilidad]]="Alta",3,IF(IniciativasIA[[#This Row],[Viabilidad]]="Media",2,1))</f>
        <v>3</v>
      </c>
      <c r="R28" s="9" t="s">
        <v>291</v>
      </c>
      <c r="S28" s="9" t="s">
        <v>173</v>
      </c>
      <c r="T28" s="9"/>
      <c r="U28" s="9" t="s">
        <v>88</v>
      </c>
      <c r="V28" s="9" t="s">
        <v>89</v>
      </c>
      <c r="W28" s="9">
        <f>IF(IniciativasIA[[#This Row],[Complejidad]]="Alta",3,IF(IniciativasIA[[#This Row],[Complejidad]]="Media",2,1))</f>
        <v>2</v>
      </c>
      <c r="X28" s="9" t="s">
        <v>134</v>
      </c>
      <c r="Y28" s="9" t="s">
        <v>85</v>
      </c>
      <c r="Z28" s="9" t="s">
        <v>216</v>
      </c>
      <c r="AA28" s="9" t="s">
        <v>92</v>
      </c>
      <c r="AB28" s="9" t="s">
        <v>93</v>
      </c>
      <c r="AC28" s="10">
        <f t="shared" si="0"/>
        <v>780000</v>
      </c>
      <c r="AD28" s="10"/>
      <c r="AE28" s="9" t="s">
        <v>85</v>
      </c>
      <c r="AF28" s="1">
        <v>8</v>
      </c>
      <c r="AG28" s="1">
        <v>8</v>
      </c>
      <c r="AH28" s="1">
        <v>6</v>
      </c>
      <c r="AI28" s="1">
        <v>8</v>
      </c>
      <c r="AJ28" s="1">
        <v>8</v>
      </c>
      <c r="AK28" s="1">
        <v>5</v>
      </c>
      <c r="AL28" s="1">
        <v>4</v>
      </c>
      <c r="AM28" s="4">
        <f>IFERROR((IniciativasIA[[#This Row],[Reach]]*IniciativasIA[[#This Row],[Impact]]*IniciativasIA[[#This Row],[Confidence]])/(IniciativasIA[[#This Row],[Effort]]*IniciativasIA[[#This Row],[AI Complexity]]/2),)</f>
        <v>38.4</v>
      </c>
      <c r="AN28" s="16">
        <f>(RANK(IniciativasIA[[#This Row],[RIC]],IniciativasIA[RIC],1)-1) / (COUNT(IniciativasIA[RIC])-1)</f>
        <v>0.9107142857142857</v>
      </c>
      <c r="AO28" s="9" t="s">
        <v>292</v>
      </c>
      <c r="AP28" s="9"/>
      <c r="AQ28" s="9" t="s">
        <v>283</v>
      </c>
      <c r="AR28" s="12"/>
      <c r="AS28" s="13">
        <v>46023</v>
      </c>
      <c r="AT28" s="13">
        <v>45992</v>
      </c>
      <c r="AU28" s="17"/>
      <c r="AV28" s="17"/>
      <c r="AW28" s="17">
        <v>46052</v>
      </c>
      <c r="AX28" s="17">
        <v>46080</v>
      </c>
      <c r="AY28" s="17">
        <v>46112</v>
      </c>
      <c r="AZ28" s="17"/>
      <c r="BA28" s="5" t="s">
        <v>293</v>
      </c>
      <c r="BB28" s="5"/>
      <c r="BC28" s="5" t="str" cm="1">
        <f t="array" aca="1" ref="BC28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Iteración / Pruebas</v>
      </c>
      <c r="BD28" s="19" cm="1">
        <f t="array" aca="1" ref="BD28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46112</v>
      </c>
      <c r="BE28" s="20"/>
      <c r="BF28" s="1" t="s">
        <v>294</v>
      </c>
      <c r="BG28" s="1" t="s">
        <v>139</v>
      </c>
      <c r="BH28" s="1" t="s">
        <v>294</v>
      </c>
      <c r="BI28" s="1" t="s">
        <v>128</v>
      </c>
      <c r="BJ28" s="1"/>
      <c r="BK28" s="1" t="s">
        <v>129</v>
      </c>
      <c r="BL28" s="1"/>
      <c r="BM28" s="1"/>
      <c r="BN28" s="1"/>
      <c r="BO28" s="1" t="s">
        <v>294</v>
      </c>
      <c r="BP28" s="5"/>
    </row>
    <row r="29" spans="1:68" x14ac:dyDescent="0.35">
      <c r="A29" s="9">
        <v>27</v>
      </c>
      <c r="B29" s="9" t="s">
        <v>295</v>
      </c>
      <c r="C29" s="9" t="s">
        <v>296</v>
      </c>
      <c r="D29" s="9" t="s">
        <v>239</v>
      </c>
      <c r="E29" s="9" t="s">
        <v>278</v>
      </c>
      <c r="F29" s="9"/>
      <c r="G29" s="10"/>
      <c r="H29" s="10"/>
      <c r="I29" s="9"/>
      <c r="J29" s="9" t="s">
        <v>20</v>
      </c>
      <c r="K29" s="11"/>
      <c r="L29" s="11"/>
      <c r="M29" s="11"/>
      <c r="N29" s="11"/>
      <c r="O29" s="9"/>
      <c r="P29" s="9" t="s">
        <v>85</v>
      </c>
      <c r="Q29" s="9">
        <f>IF(IniciativasIA[[#This Row],[Viabilidad]]="Alta",3,IF(IniciativasIA[[#This Row],[Viabilidad]]="Media",2,1))</f>
        <v>3</v>
      </c>
      <c r="R29" s="9" t="s">
        <v>291</v>
      </c>
      <c r="S29" s="9" t="s">
        <v>173</v>
      </c>
      <c r="T29" s="9"/>
      <c r="U29" s="9" t="s">
        <v>88</v>
      </c>
      <c r="V29" s="9" t="s">
        <v>89</v>
      </c>
      <c r="W29" s="9">
        <f>IF(IniciativasIA[[#This Row],[Complejidad]]="Alta",3,IF(IniciativasIA[[#This Row],[Complejidad]]="Media",2,1))</f>
        <v>2</v>
      </c>
      <c r="X29" s="9"/>
      <c r="Y29" s="9"/>
      <c r="Z29" s="9" t="s">
        <v>216</v>
      </c>
      <c r="AA29" s="9" t="s">
        <v>92</v>
      </c>
      <c r="AB29" s="9"/>
      <c r="AC29" s="10"/>
      <c r="AD29" s="10"/>
      <c r="AE29" s="9" t="s">
        <v>89</v>
      </c>
      <c r="AF29" s="1"/>
      <c r="AG29" s="1"/>
      <c r="AH29" s="1"/>
      <c r="AI29" s="1"/>
      <c r="AJ29" s="1"/>
      <c r="AK29" s="1"/>
      <c r="AL29" s="1"/>
      <c r="AM29" s="4">
        <f>IFERROR((IniciativasIA[[#This Row],[Reach]]*IniciativasIA[[#This Row],[Impact]]*IniciativasIA[[#This Row],[Confidence]])/(IniciativasIA[[#This Row],[Effort]]*IniciativasIA[[#This Row],[AI Complexity]]/2),)</f>
        <v>0</v>
      </c>
      <c r="AN29" s="16">
        <f>(RANK(IniciativasIA[[#This Row],[RIC]],IniciativasIA[RIC],1)-1) / (COUNT(IniciativasIA[RIC])-1)</f>
        <v>0</v>
      </c>
      <c r="AO29" s="9" t="s">
        <v>292</v>
      </c>
      <c r="AP29" s="9"/>
      <c r="AQ29" s="9"/>
      <c r="AR29" s="12"/>
      <c r="AS29" s="13">
        <v>46077</v>
      </c>
      <c r="AT29" s="13"/>
      <c r="AU29" s="17"/>
      <c r="AV29" s="17"/>
      <c r="AW29" s="17">
        <v>46081</v>
      </c>
      <c r="AX29" s="17"/>
      <c r="AY29" s="17"/>
      <c r="AZ29" s="17"/>
      <c r="BA29" s="5" t="s">
        <v>293</v>
      </c>
      <c r="BB29" s="5"/>
      <c r="BC29" s="5" t="str" cm="1">
        <f t="array" aca="1" ref="BC29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Análisis</v>
      </c>
      <c r="BD29" s="19" cm="1">
        <f t="array" aca="1" ref="BD29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0</v>
      </c>
      <c r="BE29" s="20"/>
      <c r="BF29" s="1" t="s">
        <v>294</v>
      </c>
      <c r="BG29" s="1" t="s">
        <v>139</v>
      </c>
      <c r="BH29" s="1" t="s">
        <v>294</v>
      </c>
      <c r="BI29" s="1" t="s">
        <v>128</v>
      </c>
      <c r="BJ29" s="1"/>
      <c r="BK29" s="1" t="s">
        <v>129</v>
      </c>
      <c r="BL29" s="1"/>
      <c r="BM29" s="1"/>
      <c r="BN29" s="1"/>
      <c r="BO29" s="1" t="s">
        <v>294</v>
      </c>
      <c r="BP29" s="5"/>
    </row>
    <row r="30" spans="1:68" x14ac:dyDescent="0.35">
      <c r="A30" s="9">
        <v>28</v>
      </c>
      <c r="B30" s="9" t="s">
        <v>297</v>
      </c>
      <c r="C30" s="9" t="s">
        <v>298</v>
      </c>
      <c r="D30" s="9" t="s">
        <v>239</v>
      </c>
      <c r="E30" s="9" t="s">
        <v>278</v>
      </c>
      <c r="F30" s="9" t="s">
        <v>279</v>
      </c>
      <c r="G30" s="10">
        <v>7800</v>
      </c>
      <c r="H30" s="10"/>
      <c r="I30" s="9" t="s">
        <v>252</v>
      </c>
      <c r="J30" s="9" t="s">
        <v>20</v>
      </c>
      <c r="K30" s="11"/>
      <c r="L30" s="11" t="s">
        <v>83</v>
      </c>
      <c r="M30" s="11"/>
      <c r="N30" s="11"/>
      <c r="O30" s="9" t="s">
        <v>147</v>
      </c>
      <c r="P30" s="9" t="s">
        <v>89</v>
      </c>
      <c r="Q30" s="9">
        <f>IF(IniciativasIA[[#This Row],[Viabilidad]]="Alta",3,IF(IniciativasIA[[#This Row],[Viabilidad]]="Media",2,1))</f>
        <v>2</v>
      </c>
      <c r="R30" s="9" t="s">
        <v>299</v>
      </c>
      <c r="S30" s="9" t="s">
        <v>87</v>
      </c>
      <c r="T30" s="9"/>
      <c r="U30" s="9" t="s">
        <v>88</v>
      </c>
      <c r="V30" s="9" t="s">
        <v>89</v>
      </c>
      <c r="W30" s="9">
        <f>IF(IniciativasIA[[#This Row],[Complejidad]]="Alta",3,IF(IniciativasIA[[#This Row],[Complejidad]]="Media",2,1))</f>
        <v>2</v>
      </c>
      <c r="X30" s="9" t="s">
        <v>134</v>
      </c>
      <c r="Y30" s="9" t="s">
        <v>85</v>
      </c>
      <c r="Z30" s="9" t="s">
        <v>281</v>
      </c>
      <c r="AA30" s="9" t="s">
        <v>92</v>
      </c>
      <c r="AB30" s="9" t="s">
        <v>93</v>
      </c>
      <c r="AC30" s="10">
        <f t="shared" si="0"/>
        <v>780000</v>
      </c>
      <c r="AD30" s="10"/>
      <c r="AE30" s="9" t="s">
        <v>121</v>
      </c>
      <c r="AF30" s="1">
        <v>5</v>
      </c>
      <c r="AG30" s="1">
        <v>5</v>
      </c>
      <c r="AH30" s="1">
        <v>6</v>
      </c>
      <c r="AI30" s="1">
        <v>5</v>
      </c>
      <c r="AJ30" s="1">
        <v>6</v>
      </c>
      <c r="AK30" s="1">
        <v>5</v>
      </c>
      <c r="AL30" s="1">
        <v>9</v>
      </c>
      <c r="AM30" s="4">
        <f>IFERROR((IniciativasIA[[#This Row],[Reach]]*IniciativasIA[[#This Row],[Impact]]*IniciativasIA[[#This Row],[Confidence]])/(IniciativasIA[[#This Row],[Effort]]*IniciativasIA[[#This Row],[AI Complexity]]/2),)</f>
        <v>8</v>
      </c>
      <c r="AN30" s="16">
        <f>(RANK(IniciativasIA[[#This Row],[RIC]],IniciativasIA[RIC],1)-1) / (COUNT(IniciativasIA[RIC])-1)</f>
        <v>0.26785714285714285</v>
      </c>
      <c r="AO30" s="9" t="s">
        <v>300</v>
      </c>
      <c r="AP30" s="9"/>
      <c r="AQ30" s="9" t="s">
        <v>283</v>
      </c>
      <c r="AR30" s="12"/>
      <c r="AS30" s="13">
        <v>46023</v>
      </c>
      <c r="AT30" s="13"/>
      <c r="AU30" s="17"/>
      <c r="AV30" s="17"/>
      <c r="AW30" s="17"/>
      <c r="AX30" s="17"/>
      <c r="AY30" s="17"/>
      <c r="AZ30" s="17"/>
      <c r="BA30" s="5"/>
      <c r="BB30" s="5"/>
      <c r="BC30" s="5" t="str" cm="1">
        <f t="array" aca="1" ref="BC30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30" s="19" t="str" cm="1">
        <f t="array" aca="1" ref="BD30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30" s="20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5"/>
    </row>
    <row r="31" spans="1:68" x14ac:dyDescent="0.35">
      <c r="A31" s="9">
        <v>29</v>
      </c>
      <c r="B31" s="9" t="s">
        <v>301</v>
      </c>
      <c r="C31" s="9" t="s">
        <v>302</v>
      </c>
      <c r="D31" s="9" t="s">
        <v>303</v>
      </c>
      <c r="E31" s="9" t="s">
        <v>304</v>
      </c>
      <c r="F31" s="9" t="s">
        <v>213</v>
      </c>
      <c r="G31" s="10">
        <v>190</v>
      </c>
      <c r="H31" s="10"/>
      <c r="I31" s="9" t="s">
        <v>182</v>
      </c>
      <c r="J31" s="9" t="s">
        <v>21</v>
      </c>
      <c r="K31" s="11"/>
      <c r="L31" s="11"/>
      <c r="M31" s="11"/>
      <c r="N31" s="11" t="s">
        <v>83</v>
      </c>
      <c r="O31" s="9" t="s">
        <v>84</v>
      </c>
      <c r="P31" s="9" t="s">
        <v>85</v>
      </c>
      <c r="Q31" s="9">
        <f>IF(IniciativasIA[[#This Row],[Viabilidad]]="Alta",3,IF(IniciativasIA[[#This Row],[Viabilidad]]="Media",2,1))</f>
        <v>3</v>
      </c>
      <c r="R31" s="9" t="s">
        <v>305</v>
      </c>
      <c r="S31" s="9" t="s">
        <v>87</v>
      </c>
      <c r="T31" s="9"/>
      <c r="U31" s="9" t="s">
        <v>120</v>
      </c>
      <c r="V31" s="9" t="s">
        <v>121</v>
      </c>
      <c r="W31" s="9">
        <f>IF(IniciativasIA[[#This Row],[Complejidad]]="Alta",3,IF(IniciativasIA[[#This Row],[Complejidad]]="Media",2,1))</f>
        <v>1</v>
      </c>
      <c r="X31" s="9" t="s">
        <v>122</v>
      </c>
      <c r="Y31" s="9" t="s">
        <v>121</v>
      </c>
      <c r="Z31" s="9" t="s">
        <v>306</v>
      </c>
      <c r="AA31" s="9" t="s">
        <v>150</v>
      </c>
      <c r="AB31" s="9" t="s">
        <v>151</v>
      </c>
      <c r="AC31" s="10">
        <f t="shared" si="0"/>
        <v>19000</v>
      </c>
      <c r="AD31" s="10"/>
      <c r="AE31" s="9" t="s">
        <v>89</v>
      </c>
      <c r="AF31" s="1">
        <v>4</v>
      </c>
      <c r="AG31" s="1">
        <v>9</v>
      </c>
      <c r="AH31" s="1">
        <v>5</v>
      </c>
      <c r="AI31" s="1">
        <v>6</v>
      </c>
      <c r="AJ31" s="1">
        <v>8</v>
      </c>
      <c r="AK31" s="1">
        <v>9</v>
      </c>
      <c r="AL31" s="1">
        <v>5</v>
      </c>
      <c r="AM31" s="4">
        <f>IFERROR((IniciativasIA[[#This Row],[Reach]]*IniciativasIA[[#This Row],[Impact]]*IniciativasIA[[#This Row],[Confidence]])/(IniciativasIA[[#This Row],[Effort]]*IniciativasIA[[#This Row],[AI Complexity]]/2),)</f>
        <v>10.666666666666666</v>
      </c>
      <c r="AN31" s="16">
        <f>(RANK(IniciativasIA[[#This Row],[RIC]],IniciativasIA[RIC],1)-1) / (COUNT(IniciativasIA[RIC])-1)</f>
        <v>0.32142857142857145</v>
      </c>
      <c r="AO31" s="9" t="s">
        <v>307</v>
      </c>
      <c r="AP31" s="9"/>
      <c r="AQ31" s="9" t="s">
        <v>96</v>
      </c>
      <c r="AR31" s="12"/>
      <c r="AS31" s="13">
        <v>46023</v>
      </c>
      <c r="AT31" s="13"/>
      <c r="AU31" s="17"/>
      <c r="AV31" s="17"/>
      <c r="AW31" s="17"/>
      <c r="AX31" s="17"/>
      <c r="AY31" s="17"/>
      <c r="AZ31" s="17"/>
      <c r="BA31" s="5"/>
      <c r="BB31" s="5"/>
      <c r="BC31" s="5" t="str" cm="1">
        <f t="array" aca="1" ref="BC31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31" s="19" t="str" cm="1">
        <f t="array" aca="1" ref="BD31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31" s="20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5"/>
    </row>
    <row r="32" spans="1:68" x14ac:dyDescent="0.35">
      <c r="A32" s="9">
        <v>30</v>
      </c>
      <c r="B32" s="9" t="s">
        <v>308</v>
      </c>
      <c r="C32" s="9" t="s">
        <v>309</v>
      </c>
      <c r="D32" s="9" t="s">
        <v>303</v>
      </c>
      <c r="E32" s="9" t="s">
        <v>304</v>
      </c>
      <c r="F32" s="9" t="s">
        <v>213</v>
      </c>
      <c r="G32" s="10">
        <v>190</v>
      </c>
      <c r="H32" s="10"/>
      <c r="I32" s="9" t="s">
        <v>310</v>
      </c>
      <c r="J32" s="9" t="s">
        <v>21</v>
      </c>
      <c r="K32" s="11"/>
      <c r="L32" s="11"/>
      <c r="M32" s="11" t="s">
        <v>83</v>
      </c>
      <c r="N32" s="11"/>
      <c r="O32" s="9" t="s">
        <v>84</v>
      </c>
      <c r="P32" s="9" t="s">
        <v>85</v>
      </c>
      <c r="Q32" s="9">
        <f>IF(IniciativasIA[[#This Row],[Viabilidad]]="Alta",3,IF(IniciativasIA[[#This Row],[Viabilidad]]="Media",2,1))</f>
        <v>3</v>
      </c>
      <c r="R32" s="9"/>
      <c r="S32" s="9" t="s">
        <v>87</v>
      </c>
      <c r="T32" s="9"/>
      <c r="U32" s="9" t="s">
        <v>88</v>
      </c>
      <c r="V32" s="9" t="s">
        <v>89</v>
      </c>
      <c r="W32" s="9">
        <f>IF(IniciativasIA[[#This Row],[Complejidad]]="Alta",3,IF(IniciativasIA[[#This Row],[Complejidad]]="Media",2,1))</f>
        <v>2</v>
      </c>
      <c r="X32" s="9" t="s">
        <v>134</v>
      </c>
      <c r="Y32" s="9" t="s">
        <v>89</v>
      </c>
      <c r="Z32" s="9" t="s">
        <v>311</v>
      </c>
      <c r="AA32" s="9" t="s">
        <v>150</v>
      </c>
      <c r="AB32" s="9" t="s">
        <v>151</v>
      </c>
      <c r="AC32" s="10">
        <f t="shared" si="0"/>
        <v>19000</v>
      </c>
      <c r="AD32" s="10"/>
      <c r="AE32" s="9" t="s">
        <v>85</v>
      </c>
      <c r="AF32" s="1">
        <v>5</v>
      </c>
      <c r="AG32" s="1">
        <v>7.5</v>
      </c>
      <c r="AH32" s="1">
        <v>6</v>
      </c>
      <c r="AI32" s="1">
        <v>7</v>
      </c>
      <c r="AJ32" s="1">
        <v>8</v>
      </c>
      <c r="AK32" s="1">
        <v>5</v>
      </c>
      <c r="AL32" s="1">
        <v>4</v>
      </c>
      <c r="AM32" s="4">
        <f>IFERROR((IniciativasIA[[#This Row],[Reach]]*IniciativasIA[[#This Row],[Impact]]*IniciativasIA[[#This Row],[Confidence]])/(IniciativasIA[[#This Row],[Effort]]*IniciativasIA[[#This Row],[AI Complexity]]/2),)</f>
        <v>33.6</v>
      </c>
      <c r="AN32" s="16">
        <f>(RANK(IniciativasIA[[#This Row],[RIC]],IniciativasIA[RIC],1)-1) / (COUNT(IniciativasIA[RIC])-1)</f>
        <v>0.8928571428571429</v>
      </c>
      <c r="AO32" s="9"/>
      <c r="AP32" s="9"/>
      <c r="AQ32" s="9" t="s">
        <v>312</v>
      </c>
      <c r="AR32" s="12"/>
      <c r="AS32" s="13">
        <v>46023</v>
      </c>
      <c r="AT32" s="13"/>
      <c r="AU32" s="17"/>
      <c r="AV32" s="17"/>
      <c r="AW32" s="17"/>
      <c r="AX32" s="17"/>
      <c r="AY32" s="17"/>
      <c r="AZ32" s="17"/>
      <c r="BA32" s="5"/>
      <c r="BB32" s="5"/>
      <c r="BC32" s="5" t="str" cm="1">
        <f t="array" aca="1" ref="BC32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32" s="19" t="str" cm="1">
        <f t="array" aca="1" ref="BD32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32" s="20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5"/>
    </row>
    <row r="33" spans="1:68" x14ac:dyDescent="0.35">
      <c r="A33" s="9">
        <v>31</v>
      </c>
      <c r="B33" s="9" t="s">
        <v>313</v>
      </c>
      <c r="C33" s="9" t="s">
        <v>314</v>
      </c>
      <c r="D33" s="9" t="s">
        <v>303</v>
      </c>
      <c r="E33" s="9" t="s">
        <v>304</v>
      </c>
      <c r="F33" s="9" t="s">
        <v>213</v>
      </c>
      <c r="G33" s="10">
        <v>190</v>
      </c>
      <c r="H33" s="10"/>
      <c r="I33" s="9" t="s">
        <v>205</v>
      </c>
      <c r="J33" s="9" t="s">
        <v>22</v>
      </c>
      <c r="K33" s="11"/>
      <c r="L33" s="11"/>
      <c r="M33" s="11"/>
      <c r="N33" s="11" t="s">
        <v>83</v>
      </c>
      <c r="O33" s="9" t="s">
        <v>84</v>
      </c>
      <c r="P33" s="9" t="s">
        <v>85</v>
      </c>
      <c r="Q33" s="9">
        <f>IF(IniciativasIA[[#This Row],[Viabilidad]]="Alta",3,IF(IniciativasIA[[#This Row],[Viabilidad]]="Media",2,1))</f>
        <v>3</v>
      </c>
      <c r="R33" s="9" t="s">
        <v>315</v>
      </c>
      <c r="S33" s="9" t="s">
        <v>87</v>
      </c>
      <c r="T33" s="9"/>
      <c r="U33" s="9" t="s">
        <v>88</v>
      </c>
      <c r="V33" s="9" t="s">
        <v>89</v>
      </c>
      <c r="W33" s="9">
        <f>IF(IniciativasIA[[#This Row],[Complejidad]]="Alta",3,IF(IniciativasIA[[#This Row],[Complejidad]]="Media",2,1))</f>
        <v>2</v>
      </c>
      <c r="X33" s="9" t="s">
        <v>134</v>
      </c>
      <c r="Y33" s="9" t="s">
        <v>89</v>
      </c>
      <c r="Z33" s="9" t="s">
        <v>316</v>
      </c>
      <c r="AA33" s="9" t="s">
        <v>92</v>
      </c>
      <c r="AB33" s="9" t="s">
        <v>93</v>
      </c>
      <c r="AC33" s="10">
        <f t="shared" si="0"/>
        <v>19000</v>
      </c>
      <c r="AD33" s="10"/>
      <c r="AE33" s="9" t="s">
        <v>89</v>
      </c>
      <c r="AF33" s="1">
        <v>5.5</v>
      </c>
      <c r="AG33" s="1">
        <v>8</v>
      </c>
      <c r="AH33" s="1">
        <v>6</v>
      </c>
      <c r="AI33" s="1">
        <v>6</v>
      </c>
      <c r="AJ33" s="1">
        <v>7</v>
      </c>
      <c r="AK33" s="1">
        <v>6</v>
      </c>
      <c r="AL33" s="1">
        <v>3</v>
      </c>
      <c r="AM33" s="4">
        <f>IFERROR((IniciativasIA[[#This Row],[Reach]]*IniciativasIA[[#This Row],[Impact]]*IniciativasIA[[#This Row],[Confidence]])/(IniciativasIA[[#This Row],[Effort]]*IniciativasIA[[#This Row],[AI Complexity]]/2),)</f>
        <v>28</v>
      </c>
      <c r="AN33" s="16">
        <f>(RANK(IniciativasIA[[#This Row],[RIC]],IniciativasIA[RIC],1)-1) / (COUNT(IniciativasIA[RIC])-1)</f>
        <v>0.7321428571428571</v>
      </c>
      <c r="AO33" s="9" t="s">
        <v>317</v>
      </c>
      <c r="AP33" s="9"/>
      <c r="AQ33" s="9" t="s">
        <v>312</v>
      </c>
      <c r="AR33" s="12"/>
      <c r="AS33" s="13">
        <v>46023</v>
      </c>
      <c r="AT33" s="13"/>
      <c r="AU33" s="17"/>
      <c r="AV33" s="17"/>
      <c r="AW33" s="17"/>
      <c r="AX33" s="17"/>
      <c r="AY33" s="17"/>
      <c r="AZ33" s="17"/>
      <c r="BA33" s="5"/>
      <c r="BB33" s="5"/>
      <c r="BC33" s="5" t="str" cm="1">
        <f t="array" aca="1" ref="BC33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33" s="19" t="str" cm="1">
        <f t="array" aca="1" ref="BD33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33" s="20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5"/>
    </row>
    <row r="34" spans="1:68" x14ac:dyDescent="0.35">
      <c r="A34" s="9">
        <v>32</v>
      </c>
      <c r="B34" s="9" t="s">
        <v>318</v>
      </c>
      <c r="C34" s="9" t="s">
        <v>319</v>
      </c>
      <c r="D34" s="9" t="s">
        <v>303</v>
      </c>
      <c r="E34" s="9" t="s">
        <v>304</v>
      </c>
      <c r="F34" s="9" t="s">
        <v>213</v>
      </c>
      <c r="G34" s="10">
        <v>190</v>
      </c>
      <c r="H34" s="10"/>
      <c r="I34" s="9" t="s">
        <v>182</v>
      </c>
      <c r="J34" s="9" t="s">
        <v>21</v>
      </c>
      <c r="K34" s="11"/>
      <c r="L34" s="11"/>
      <c r="M34" s="11"/>
      <c r="N34" s="11" t="s">
        <v>83</v>
      </c>
      <c r="O34" s="9" t="s">
        <v>84</v>
      </c>
      <c r="P34" s="9" t="s">
        <v>89</v>
      </c>
      <c r="Q34" s="9">
        <f>IF(IniciativasIA[[#This Row],[Viabilidad]]="Alta",3,IF(IniciativasIA[[#This Row],[Viabilidad]]="Media",2,1))</f>
        <v>2</v>
      </c>
      <c r="R34" s="9" t="s">
        <v>320</v>
      </c>
      <c r="S34" s="9" t="s">
        <v>173</v>
      </c>
      <c r="T34" s="9"/>
      <c r="U34" s="9" t="s">
        <v>103</v>
      </c>
      <c r="V34" s="9" t="s">
        <v>85</v>
      </c>
      <c r="W34" s="9">
        <f>IF(IniciativasIA[[#This Row],[Complejidad]]="Alta",3,IF(IniciativasIA[[#This Row],[Complejidad]]="Media",2,1))</f>
        <v>3</v>
      </c>
      <c r="X34" s="9" t="s">
        <v>104</v>
      </c>
      <c r="Y34" s="9" t="s">
        <v>89</v>
      </c>
      <c r="Z34" s="9" t="s">
        <v>321</v>
      </c>
      <c r="AA34" s="9" t="s">
        <v>106</v>
      </c>
      <c r="AB34" s="9" t="s">
        <v>322</v>
      </c>
      <c r="AC34" s="10">
        <f t="shared" si="0"/>
        <v>19000</v>
      </c>
      <c r="AD34" s="10"/>
      <c r="AE34" s="9" t="s">
        <v>121</v>
      </c>
      <c r="AF34" s="1">
        <v>2</v>
      </c>
      <c r="AG34" s="1">
        <v>3</v>
      </c>
      <c r="AH34" s="1">
        <v>4</v>
      </c>
      <c r="AI34" s="1">
        <v>3</v>
      </c>
      <c r="AJ34" s="1">
        <v>6</v>
      </c>
      <c r="AK34" s="1">
        <v>3</v>
      </c>
      <c r="AL34" s="1">
        <v>6</v>
      </c>
      <c r="AM34" s="4">
        <f>IFERROR((IniciativasIA[[#This Row],[Reach]]*IniciativasIA[[#This Row],[Impact]]*IniciativasIA[[#This Row],[Confidence]])/(IniciativasIA[[#This Row],[Effort]]*IniciativasIA[[#This Row],[AI Complexity]]/2),)</f>
        <v>8</v>
      </c>
      <c r="AN34" s="16">
        <f>(RANK(IniciativasIA[[#This Row],[RIC]],IniciativasIA[RIC],1)-1) / (COUNT(IniciativasIA[RIC])-1)</f>
        <v>0.26785714285714285</v>
      </c>
      <c r="AO34" s="9" t="s">
        <v>323</v>
      </c>
      <c r="AP34" s="9" t="s">
        <v>109</v>
      </c>
      <c r="AQ34" s="9" t="s">
        <v>96</v>
      </c>
      <c r="AR34" s="12"/>
      <c r="AS34" s="13">
        <v>46023</v>
      </c>
      <c r="AT34" s="13"/>
      <c r="AU34" s="17"/>
      <c r="AV34" s="17"/>
      <c r="AW34" s="17"/>
      <c r="AX34" s="17"/>
      <c r="AY34" s="17"/>
      <c r="AZ34" s="17"/>
      <c r="BA34" s="5"/>
      <c r="BB34" s="5"/>
      <c r="BC34" s="5" t="str" cm="1">
        <f t="array" aca="1" ref="BC34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34" s="19" t="str" cm="1">
        <f t="array" aca="1" ref="BD34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34" s="20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5"/>
    </row>
    <row r="35" spans="1:68" x14ac:dyDescent="0.35">
      <c r="A35" s="9">
        <v>33</v>
      </c>
      <c r="B35" s="9" t="s">
        <v>324</v>
      </c>
      <c r="C35" s="9" t="s">
        <v>325</v>
      </c>
      <c r="D35" s="9" t="s">
        <v>303</v>
      </c>
      <c r="E35" s="9" t="s">
        <v>304</v>
      </c>
      <c r="F35" s="9" t="s">
        <v>213</v>
      </c>
      <c r="G35" s="10">
        <v>190</v>
      </c>
      <c r="H35" s="10"/>
      <c r="I35" s="9" t="s">
        <v>182</v>
      </c>
      <c r="J35" s="9" t="s">
        <v>22</v>
      </c>
      <c r="K35" s="11"/>
      <c r="L35" s="11"/>
      <c r="M35" s="11"/>
      <c r="N35" s="11" t="s">
        <v>83</v>
      </c>
      <c r="O35" s="9" t="s">
        <v>84</v>
      </c>
      <c r="P35" s="9" t="s">
        <v>89</v>
      </c>
      <c r="Q35" s="9">
        <f>IF(IniciativasIA[[#This Row],[Viabilidad]]="Alta",3,IF(IniciativasIA[[#This Row],[Viabilidad]]="Media",2,1))</f>
        <v>2</v>
      </c>
      <c r="R35" s="9" t="s">
        <v>326</v>
      </c>
      <c r="S35" s="9" t="s">
        <v>87</v>
      </c>
      <c r="T35" s="9"/>
      <c r="U35" s="9" t="s">
        <v>88</v>
      </c>
      <c r="V35" s="9" t="s">
        <v>89</v>
      </c>
      <c r="W35" s="9">
        <f>IF(IniciativasIA[[#This Row],[Complejidad]]="Alta",3,IF(IniciativasIA[[#This Row],[Complejidad]]="Media",2,1))</f>
        <v>2</v>
      </c>
      <c r="X35" s="9" t="s">
        <v>134</v>
      </c>
      <c r="Y35" s="9" t="s">
        <v>89</v>
      </c>
      <c r="Z35" s="9" t="s">
        <v>264</v>
      </c>
      <c r="AA35" s="9" t="s">
        <v>92</v>
      </c>
      <c r="AB35" s="9" t="s">
        <v>151</v>
      </c>
      <c r="AC35" s="10">
        <f t="shared" si="0"/>
        <v>19000</v>
      </c>
      <c r="AD35" s="10"/>
      <c r="AE35" s="9" t="s">
        <v>89</v>
      </c>
      <c r="AF35" s="1">
        <v>5</v>
      </c>
      <c r="AG35" s="1">
        <v>6</v>
      </c>
      <c r="AH35" s="1">
        <v>6</v>
      </c>
      <c r="AI35" s="1">
        <v>6</v>
      </c>
      <c r="AJ35" s="1">
        <v>6</v>
      </c>
      <c r="AK35" s="1">
        <v>5</v>
      </c>
      <c r="AL35" s="1">
        <v>5</v>
      </c>
      <c r="AM35" s="4">
        <f>IFERROR((IniciativasIA[[#This Row],[Reach]]*IniciativasIA[[#This Row],[Impact]]*IniciativasIA[[#This Row],[Confidence]])/(IniciativasIA[[#This Row],[Effort]]*IniciativasIA[[#This Row],[AI Complexity]]/2),)</f>
        <v>17.28</v>
      </c>
      <c r="AN35" s="16">
        <f>(RANK(IniciativasIA[[#This Row],[RIC]],IniciativasIA[RIC],1)-1) / (COUNT(IniciativasIA[RIC])-1)</f>
        <v>0.5</v>
      </c>
      <c r="AO35" s="9" t="s">
        <v>307</v>
      </c>
      <c r="AP35" s="9"/>
      <c r="AQ35" s="9" t="s">
        <v>96</v>
      </c>
      <c r="AR35" s="12"/>
      <c r="AS35" s="13">
        <v>46023</v>
      </c>
      <c r="AT35" s="13"/>
      <c r="AU35" s="17"/>
      <c r="AV35" s="17"/>
      <c r="AW35" s="17"/>
      <c r="AX35" s="17"/>
      <c r="AY35" s="17"/>
      <c r="AZ35" s="17"/>
      <c r="BA35" s="5"/>
      <c r="BB35" s="5"/>
      <c r="BC35" s="5" t="str" cm="1">
        <f t="array" aca="1" ref="BC35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35" s="19" t="str" cm="1">
        <f t="array" aca="1" ref="BD35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35" s="20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5"/>
    </row>
    <row r="36" spans="1:68" x14ac:dyDescent="0.35">
      <c r="A36" s="9">
        <v>34</v>
      </c>
      <c r="B36" s="9" t="s">
        <v>327</v>
      </c>
      <c r="C36" s="9" t="s">
        <v>328</v>
      </c>
      <c r="D36" s="9" t="s">
        <v>329</v>
      </c>
      <c r="E36" s="9" t="s">
        <v>330</v>
      </c>
      <c r="F36" s="9" t="s">
        <v>279</v>
      </c>
      <c r="G36" s="10">
        <v>400</v>
      </c>
      <c r="H36" s="10"/>
      <c r="I36" s="9" t="s">
        <v>331</v>
      </c>
      <c r="J36" s="9" t="s">
        <v>19</v>
      </c>
      <c r="K36" s="11" t="s">
        <v>83</v>
      </c>
      <c r="L36" s="11"/>
      <c r="M36" s="11"/>
      <c r="N36" s="11"/>
      <c r="O36" s="9" t="s">
        <v>147</v>
      </c>
      <c r="P36" s="9" t="s">
        <v>89</v>
      </c>
      <c r="Q36" s="9">
        <f>IF(IniciativasIA[[#This Row],[Viabilidad]]="Alta",3,IF(IniciativasIA[[#This Row],[Viabilidad]]="Media",2,1))</f>
        <v>2</v>
      </c>
      <c r="R36" s="9" t="s">
        <v>332</v>
      </c>
      <c r="S36" s="9" t="s">
        <v>173</v>
      </c>
      <c r="T36" s="9"/>
      <c r="U36" s="9" t="s">
        <v>88</v>
      </c>
      <c r="V36" s="9" t="s">
        <v>89</v>
      </c>
      <c r="W36" s="9">
        <f>IF(IniciativasIA[[#This Row],[Complejidad]]="Alta",3,IF(IniciativasIA[[#This Row],[Complejidad]]="Media",2,1))</f>
        <v>2</v>
      </c>
      <c r="X36" s="9" t="s">
        <v>134</v>
      </c>
      <c r="Y36" s="9" t="s">
        <v>85</v>
      </c>
      <c r="Z36" s="9" t="s">
        <v>254</v>
      </c>
      <c r="AA36" s="9" t="s">
        <v>197</v>
      </c>
      <c r="AB36" s="9" t="s">
        <v>151</v>
      </c>
      <c r="AC36" s="10">
        <f>G36*0.001*1000000</f>
        <v>400000</v>
      </c>
      <c r="AD36" s="10"/>
      <c r="AE36" s="9" t="s">
        <v>89</v>
      </c>
      <c r="AF36" s="1">
        <v>6</v>
      </c>
      <c r="AG36" s="1">
        <v>6</v>
      </c>
      <c r="AH36" s="1">
        <v>6</v>
      </c>
      <c r="AI36" s="1">
        <v>6</v>
      </c>
      <c r="AJ36" s="1">
        <v>6</v>
      </c>
      <c r="AK36" s="1">
        <v>5</v>
      </c>
      <c r="AL36" s="1">
        <v>3</v>
      </c>
      <c r="AM36" s="4">
        <f>IFERROR((IniciativasIA[[#This Row],[Reach]]*IniciativasIA[[#This Row],[Impact]]*IniciativasIA[[#This Row],[Confidence]])/(IniciativasIA[[#This Row],[Effort]]*IniciativasIA[[#This Row],[AI Complexity]]/2),)</f>
        <v>28.8</v>
      </c>
      <c r="AN36" s="16">
        <f>(RANK(IniciativasIA[[#This Row],[RIC]],IniciativasIA[RIC],1)-1) / (COUNT(IniciativasIA[RIC])-1)</f>
        <v>0.7678571428571429</v>
      </c>
      <c r="AO36" s="9" t="s">
        <v>333</v>
      </c>
      <c r="AP36" s="9"/>
      <c r="AQ36" s="9" t="s">
        <v>334</v>
      </c>
      <c r="AR36" s="12"/>
      <c r="AS36" s="13">
        <v>46023</v>
      </c>
      <c r="AT36" s="13"/>
      <c r="AU36" s="17"/>
      <c r="AV36" s="17"/>
      <c r="AW36" s="17"/>
      <c r="AX36" s="17"/>
      <c r="AY36" s="17"/>
      <c r="AZ36" s="17"/>
      <c r="BA36" s="5"/>
      <c r="BB36" s="5"/>
      <c r="BC36" s="5" t="str" cm="1">
        <f t="array" aca="1" ref="BC36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36" s="19" t="str" cm="1">
        <f t="array" aca="1" ref="BD36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36" s="20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5"/>
    </row>
    <row r="37" spans="1:68" ht="29" x14ac:dyDescent="0.35">
      <c r="A37" s="9">
        <v>35</v>
      </c>
      <c r="B37" s="9" t="s">
        <v>335</v>
      </c>
      <c r="C37" s="9" t="s">
        <v>336</v>
      </c>
      <c r="D37" s="9" t="s">
        <v>337</v>
      </c>
      <c r="E37" s="9" t="s">
        <v>240</v>
      </c>
      <c r="F37" s="9" t="s">
        <v>81</v>
      </c>
      <c r="G37" s="10">
        <v>600</v>
      </c>
      <c r="H37" s="10"/>
      <c r="I37" s="9" t="s">
        <v>101</v>
      </c>
      <c r="J37" s="9" t="s">
        <v>19</v>
      </c>
      <c r="K37" s="11" t="s">
        <v>83</v>
      </c>
      <c r="L37" s="11"/>
      <c r="M37" s="11"/>
      <c r="N37" s="11"/>
      <c r="O37" s="9" t="s">
        <v>84</v>
      </c>
      <c r="P37" s="9" t="s">
        <v>85</v>
      </c>
      <c r="Q37" s="9">
        <f>IF(IniciativasIA[[#This Row],[Viabilidad]]="Alta",3,IF(IniciativasIA[[#This Row],[Viabilidad]]="Media",2,1))</f>
        <v>3</v>
      </c>
      <c r="R37" s="9" t="s">
        <v>338</v>
      </c>
      <c r="S37" s="9" t="s">
        <v>87</v>
      </c>
      <c r="T37" s="9"/>
      <c r="U37" s="9" t="s">
        <v>120</v>
      </c>
      <c r="V37" s="9" t="s">
        <v>121</v>
      </c>
      <c r="W37" s="9">
        <f>IF(IniciativasIA[[#This Row],[Complejidad]]="Alta",3,IF(IniciativasIA[[#This Row],[Complejidad]]="Media",2,1))</f>
        <v>1</v>
      </c>
      <c r="X37" s="9" t="s">
        <v>122</v>
      </c>
      <c r="Y37" s="9" t="s">
        <v>121</v>
      </c>
      <c r="Z37" s="9" t="s">
        <v>339</v>
      </c>
      <c r="AA37" s="9" t="s">
        <v>92</v>
      </c>
      <c r="AB37" s="9" t="s">
        <v>151</v>
      </c>
      <c r="AC37" s="10">
        <f t="shared" si="0"/>
        <v>60000.000000000007</v>
      </c>
      <c r="AD37" s="10"/>
      <c r="AE37" s="9" t="s">
        <v>85</v>
      </c>
      <c r="AF37" s="1">
        <v>5</v>
      </c>
      <c r="AG37" s="1">
        <v>9</v>
      </c>
      <c r="AH37" s="1">
        <v>6</v>
      </c>
      <c r="AI37" s="1">
        <v>6</v>
      </c>
      <c r="AJ37" s="1">
        <v>8</v>
      </c>
      <c r="AK37" s="1">
        <v>7</v>
      </c>
      <c r="AL37" s="1">
        <v>2</v>
      </c>
      <c r="AM37" s="4">
        <f>IFERROR((IniciativasIA[[#This Row],[Reach]]*IniciativasIA[[#This Row],[Impact]]*IniciativasIA[[#This Row],[Confidence]])/(IniciativasIA[[#This Row],[Effort]]*IniciativasIA[[#This Row],[AI Complexity]]/2),)</f>
        <v>41.142857142857146</v>
      </c>
      <c r="AN37" s="16">
        <f>(RANK(IniciativasIA[[#This Row],[RIC]],IniciativasIA[RIC],1)-1) / (COUNT(IniciativasIA[RIC])-1)</f>
        <v>0.9642857142857143</v>
      </c>
      <c r="AO37" s="9" t="s">
        <v>340</v>
      </c>
      <c r="AP37" s="9"/>
      <c r="AQ37" s="9" t="s">
        <v>96</v>
      </c>
      <c r="AR37" s="12"/>
      <c r="AS37" s="13">
        <v>46023</v>
      </c>
      <c r="AT37" s="13"/>
      <c r="AU37" s="17">
        <v>45945</v>
      </c>
      <c r="AV37" s="17"/>
      <c r="AW37" s="17">
        <v>46006</v>
      </c>
      <c r="AX37" s="17">
        <v>46037</v>
      </c>
      <c r="AY37" s="17">
        <v>46066</v>
      </c>
      <c r="AZ37" s="17">
        <v>46234</v>
      </c>
      <c r="BA37" s="5" t="s">
        <v>126</v>
      </c>
      <c r="BB37" s="5" t="s">
        <v>341</v>
      </c>
      <c r="BC37" s="5" t="str" cm="1">
        <f t="array" aca="1" ref="BC37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Mantenimiento</v>
      </c>
      <c r="BD37" s="19" cm="1">
        <f t="array" aca="1" ref="BD37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46234</v>
      </c>
      <c r="BE37" s="20"/>
      <c r="BF37" s="1" t="s">
        <v>338</v>
      </c>
      <c r="BG37" s="1" t="s">
        <v>139</v>
      </c>
      <c r="BH37" s="1"/>
      <c r="BI37" s="1" t="s">
        <v>128</v>
      </c>
      <c r="BJ37" s="1"/>
      <c r="BK37" s="1" t="s">
        <v>129</v>
      </c>
      <c r="BL37" s="1"/>
      <c r="BM37" s="1"/>
      <c r="BN37" s="1"/>
      <c r="BO37" s="1" t="s">
        <v>116</v>
      </c>
      <c r="BP37" s="5"/>
    </row>
    <row r="38" spans="1:68" ht="29" x14ac:dyDescent="0.35">
      <c r="A38" s="9">
        <v>36</v>
      </c>
      <c r="B38" s="9" t="s">
        <v>342</v>
      </c>
      <c r="C38" s="9" t="s">
        <v>343</v>
      </c>
      <c r="D38" s="9" t="s">
        <v>344</v>
      </c>
      <c r="E38" s="9" t="s">
        <v>330</v>
      </c>
      <c r="F38" s="9" t="s">
        <v>279</v>
      </c>
      <c r="G38" s="10">
        <v>400</v>
      </c>
      <c r="H38" s="10"/>
      <c r="I38" s="9" t="s">
        <v>345</v>
      </c>
      <c r="J38" s="9" t="s">
        <v>19</v>
      </c>
      <c r="K38" s="11" t="s">
        <v>83</v>
      </c>
      <c r="L38" s="11"/>
      <c r="M38" s="11"/>
      <c r="N38" s="11"/>
      <c r="O38" s="9" t="s">
        <v>147</v>
      </c>
      <c r="P38" s="9" t="s">
        <v>85</v>
      </c>
      <c r="Q38" s="9">
        <f>IF(IniciativasIA[[#This Row],[Viabilidad]]="Alta",3,IF(IniciativasIA[[#This Row],[Viabilidad]]="Media",2,1))</f>
        <v>3</v>
      </c>
      <c r="R38" s="9" t="s">
        <v>346</v>
      </c>
      <c r="S38" s="9" t="s">
        <v>173</v>
      </c>
      <c r="T38" s="9"/>
      <c r="U38" s="9" t="s">
        <v>88</v>
      </c>
      <c r="V38" s="9" t="s">
        <v>89</v>
      </c>
      <c r="W38" s="9">
        <f>IF(IniciativasIA[[#This Row],[Complejidad]]="Alta",3,IF(IniciativasIA[[#This Row],[Complejidad]]="Media",2,1))</f>
        <v>2</v>
      </c>
      <c r="X38" s="9" t="s">
        <v>134</v>
      </c>
      <c r="Y38" s="9" t="s">
        <v>85</v>
      </c>
      <c r="Z38" s="9" t="s">
        <v>216</v>
      </c>
      <c r="AA38" s="9" t="s">
        <v>197</v>
      </c>
      <c r="AB38" s="9" t="s">
        <v>93</v>
      </c>
      <c r="AC38" s="10">
        <f>G38*0.001*1000000</f>
        <v>400000</v>
      </c>
      <c r="AD38" s="10"/>
      <c r="AE38" s="9" t="s">
        <v>85</v>
      </c>
      <c r="AF38" s="1">
        <v>6</v>
      </c>
      <c r="AG38" s="1">
        <v>8</v>
      </c>
      <c r="AH38" s="1">
        <v>6</v>
      </c>
      <c r="AI38" s="1">
        <v>8</v>
      </c>
      <c r="AJ38" s="1">
        <v>8</v>
      </c>
      <c r="AK38" s="1">
        <v>5</v>
      </c>
      <c r="AL38" s="1">
        <v>3</v>
      </c>
      <c r="AM38" s="4">
        <f>IFERROR((IniciativasIA[[#This Row],[Reach]]*IniciativasIA[[#This Row],[Impact]]*IniciativasIA[[#This Row],[Confidence]])/(IniciativasIA[[#This Row],[Effort]]*IniciativasIA[[#This Row],[AI Complexity]]/2),)</f>
        <v>51.2</v>
      </c>
      <c r="AN38" s="16">
        <f>(RANK(IniciativasIA[[#This Row],[RIC]],IniciativasIA[RIC],1)-1) / (COUNT(IniciativasIA[RIC])-1)</f>
        <v>0.9821428571428571</v>
      </c>
      <c r="AO38" s="9" t="s">
        <v>347</v>
      </c>
      <c r="AP38" s="9"/>
      <c r="AQ38" s="9" t="s">
        <v>334</v>
      </c>
      <c r="AR38" s="12"/>
      <c r="AS38" s="13">
        <v>46023</v>
      </c>
      <c r="AT38" s="17">
        <v>45839</v>
      </c>
      <c r="AU38" s="17">
        <v>45870</v>
      </c>
      <c r="AV38" s="17"/>
      <c r="AW38" s="17">
        <v>45931</v>
      </c>
      <c r="AX38" s="17"/>
      <c r="AY38" s="17"/>
      <c r="AZ38" s="17"/>
      <c r="BA38" s="5" t="s">
        <v>126</v>
      </c>
      <c r="BB38" s="5" t="s">
        <v>348</v>
      </c>
      <c r="BC38" s="5" t="str" cm="1">
        <f t="array" aca="1" ref="BC38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Priorización</v>
      </c>
      <c r="BD38" s="19" cm="1">
        <f t="array" aca="1" ref="BD38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0</v>
      </c>
      <c r="BE38" s="20"/>
      <c r="BF38" s="1"/>
      <c r="BG38" s="1"/>
      <c r="BH38" s="1"/>
      <c r="BI38" s="1" t="s">
        <v>128</v>
      </c>
      <c r="BJ38" s="1"/>
      <c r="BK38" s="1" t="s">
        <v>349</v>
      </c>
      <c r="BL38" s="1"/>
      <c r="BM38" s="1"/>
      <c r="BN38" s="1"/>
      <c r="BO38" s="1" t="s">
        <v>142</v>
      </c>
      <c r="BP38" s="5"/>
    </row>
    <row r="39" spans="1:68" x14ac:dyDescent="0.35">
      <c r="A39" s="9">
        <v>37</v>
      </c>
      <c r="B39" s="9" t="s">
        <v>350</v>
      </c>
      <c r="C39" s="9" t="s">
        <v>351</v>
      </c>
      <c r="D39" s="9" t="s">
        <v>352</v>
      </c>
      <c r="E39" s="12" t="s">
        <v>100</v>
      </c>
      <c r="F39" s="9" t="s">
        <v>81</v>
      </c>
      <c r="G39" s="10"/>
      <c r="H39" s="10"/>
      <c r="I39" s="9" t="s">
        <v>101</v>
      </c>
      <c r="J39" s="9" t="s">
        <v>19</v>
      </c>
      <c r="K39" s="11" t="s">
        <v>83</v>
      </c>
      <c r="L39" s="11"/>
      <c r="M39" s="11"/>
      <c r="N39" s="11"/>
      <c r="O39" s="9" t="s">
        <v>84</v>
      </c>
      <c r="P39" s="9" t="s">
        <v>85</v>
      </c>
      <c r="Q39" s="9">
        <f>IF(IniciativasIA[[#This Row],[Viabilidad]]="Alta",3,IF(IniciativasIA[[#This Row],[Viabilidad]]="Media",2,1))</f>
        <v>3</v>
      </c>
      <c r="R39" s="9"/>
      <c r="S39" s="9" t="s">
        <v>87</v>
      </c>
      <c r="T39" s="9"/>
      <c r="U39" s="9" t="s">
        <v>120</v>
      </c>
      <c r="V39" s="9" t="s">
        <v>121</v>
      </c>
      <c r="W39" s="9">
        <f>IF(IniciativasIA[[#This Row],[Complejidad]]="Alta",3,IF(IniciativasIA[[#This Row],[Complejidad]]="Media",2,1))</f>
        <v>1</v>
      </c>
      <c r="X39" s="9" t="s">
        <v>90</v>
      </c>
      <c r="Y39" s="12" t="s">
        <v>121</v>
      </c>
      <c r="Z39" s="12" t="s">
        <v>353</v>
      </c>
      <c r="AA39" s="12" t="s">
        <v>197</v>
      </c>
      <c r="AB39" s="12" t="s">
        <v>109</v>
      </c>
      <c r="AC39" s="10"/>
      <c r="AD39" s="10"/>
      <c r="AE39" s="12" t="s">
        <v>85</v>
      </c>
      <c r="AF39" s="1">
        <v>7</v>
      </c>
      <c r="AG39" s="1">
        <v>6.5</v>
      </c>
      <c r="AH39" s="1">
        <v>6</v>
      </c>
      <c r="AI39" s="1">
        <v>6.5</v>
      </c>
      <c r="AJ39" s="1">
        <v>8</v>
      </c>
      <c r="AK39" s="1">
        <v>9</v>
      </c>
      <c r="AL39" s="1">
        <v>4</v>
      </c>
      <c r="AM39" s="4">
        <f>IFERROR((IniciativasIA[[#This Row],[Reach]]*IniciativasIA[[#This Row],[Impact]]*IniciativasIA[[#This Row],[Confidence]])/(IniciativasIA[[#This Row],[Effort]]*IniciativasIA[[#This Row],[AI Complexity]]/2),)</f>
        <v>17.333333333333332</v>
      </c>
      <c r="AN39" s="16">
        <f>(RANK(IniciativasIA[[#This Row],[RIC]],IniciativasIA[RIC],1)-1) / (COUNT(IniciativasIA[RIC])-1)</f>
        <v>0.5178571428571429</v>
      </c>
      <c r="AO39" s="12"/>
      <c r="AP39" s="12"/>
      <c r="AQ39" s="9" t="s">
        <v>96</v>
      </c>
      <c r="AR39" s="12"/>
      <c r="AS39" s="13">
        <v>46023</v>
      </c>
      <c r="AT39" s="13"/>
      <c r="AU39" s="17">
        <v>46055</v>
      </c>
      <c r="AV39" s="17"/>
      <c r="AW39" s="17">
        <v>46052</v>
      </c>
      <c r="AX39" s="17">
        <v>46111</v>
      </c>
      <c r="AY39" s="17">
        <v>46171</v>
      </c>
      <c r="AZ39" s="17"/>
      <c r="BA39" s="5" t="s">
        <v>176</v>
      </c>
      <c r="BB39" s="5" t="s">
        <v>177</v>
      </c>
      <c r="BC39" s="5" t="str" cm="1">
        <f t="array" aca="1" ref="BC39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Diseño</v>
      </c>
      <c r="BD39" s="19" cm="1">
        <f t="array" aca="1" ref="BD39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46111</v>
      </c>
      <c r="BE39" s="20"/>
      <c r="BF39" s="1" t="s">
        <v>138</v>
      </c>
      <c r="BG39" s="1" t="s">
        <v>139</v>
      </c>
      <c r="BH39" s="1" t="s">
        <v>354</v>
      </c>
      <c r="BI39" s="1" t="s">
        <v>113</v>
      </c>
      <c r="BJ39" s="1" t="s">
        <v>236</v>
      </c>
      <c r="BK39" s="1" t="s">
        <v>355</v>
      </c>
      <c r="BL39" s="1"/>
      <c r="BM39" s="1"/>
      <c r="BN39" s="1"/>
      <c r="BO39" s="1" t="s">
        <v>294</v>
      </c>
      <c r="BP39" s="5"/>
    </row>
    <row r="40" spans="1:68" x14ac:dyDescent="0.35">
      <c r="A40" s="9">
        <v>38</v>
      </c>
      <c r="B40" s="9" t="s">
        <v>356</v>
      </c>
      <c r="C40" s="9" t="s">
        <v>357</v>
      </c>
      <c r="D40" s="9" t="s">
        <v>358</v>
      </c>
      <c r="E40" s="12" t="s">
        <v>100</v>
      </c>
      <c r="F40" s="9" t="s">
        <v>81</v>
      </c>
      <c r="G40" s="10"/>
      <c r="H40" s="10"/>
      <c r="I40" s="9" t="s">
        <v>345</v>
      </c>
      <c r="J40" s="9" t="s">
        <v>21</v>
      </c>
      <c r="K40" s="9"/>
      <c r="L40" s="9"/>
      <c r="M40" s="11" t="s">
        <v>83</v>
      </c>
      <c r="N40" s="9"/>
      <c r="O40" s="9" t="s">
        <v>84</v>
      </c>
      <c r="P40" s="12" t="s">
        <v>89</v>
      </c>
      <c r="Q40" s="9">
        <f>IF(IniciativasIA[[#This Row],[Viabilidad]]="Alta",3,IF(IniciativasIA[[#This Row],[Viabilidad]]="Media",2,1))</f>
        <v>2</v>
      </c>
      <c r="R40" s="9"/>
      <c r="S40" s="9" t="s">
        <v>87</v>
      </c>
      <c r="T40" s="9"/>
      <c r="U40" s="9" t="s">
        <v>120</v>
      </c>
      <c r="V40" s="9" t="s">
        <v>121</v>
      </c>
      <c r="W40" s="9">
        <f>IF(IniciativasIA[[#This Row],[Complejidad]]="Alta",3,IF(IniciativasIA[[#This Row],[Complejidad]]="Media",2,1))</f>
        <v>1</v>
      </c>
      <c r="X40" s="9" t="s">
        <v>90</v>
      </c>
      <c r="Y40" s="12" t="s">
        <v>121</v>
      </c>
      <c r="Z40" s="12" t="s">
        <v>359</v>
      </c>
      <c r="AA40" s="12" t="s">
        <v>197</v>
      </c>
      <c r="AB40" s="12" t="s">
        <v>109</v>
      </c>
      <c r="AC40" s="10"/>
      <c r="AD40" s="10"/>
      <c r="AE40" s="12" t="s">
        <v>121</v>
      </c>
      <c r="AF40" s="1">
        <v>5</v>
      </c>
      <c r="AG40" s="1">
        <v>8</v>
      </c>
      <c r="AH40" s="1">
        <v>6</v>
      </c>
      <c r="AI40" s="1">
        <v>7</v>
      </c>
      <c r="AJ40" s="1">
        <v>6</v>
      </c>
      <c r="AK40" s="1">
        <v>6</v>
      </c>
      <c r="AL40" s="1">
        <v>3</v>
      </c>
      <c r="AM40" s="4">
        <f>IFERROR((IniciativasIA[[#This Row],[Reach]]*IniciativasIA[[#This Row],[Impact]]*IniciativasIA[[#This Row],[Confidence]])/(IniciativasIA[[#This Row],[Effort]]*IniciativasIA[[#This Row],[AI Complexity]]/2),)</f>
        <v>28</v>
      </c>
      <c r="AN40" s="16">
        <f>(RANK(IniciativasIA[[#This Row],[RIC]],IniciativasIA[RIC],1)-1) / (COUNT(IniciativasIA[RIC])-1)</f>
        <v>0.7321428571428571</v>
      </c>
      <c r="AO40" s="12"/>
      <c r="AP40" s="12"/>
      <c r="AQ40" s="9" t="s">
        <v>199</v>
      </c>
      <c r="AR40" s="12"/>
      <c r="AS40" s="13">
        <v>46023</v>
      </c>
      <c r="AT40" s="13">
        <v>46052</v>
      </c>
      <c r="AU40" s="17">
        <v>46081</v>
      </c>
      <c r="AV40" s="17"/>
      <c r="AW40" s="17"/>
      <c r="AX40" s="17"/>
      <c r="AY40" s="17"/>
      <c r="AZ40" s="17"/>
      <c r="BA40" s="5" t="s">
        <v>360</v>
      </c>
      <c r="BB40" s="5"/>
      <c r="BC40" s="5" t="str" cm="1">
        <f t="array" aca="1" ref="BC40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Análisis</v>
      </c>
      <c r="BD40" s="19" cm="1">
        <f t="array" aca="1" ref="BD40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46081</v>
      </c>
      <c r="BE40" s="20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5"/>
    </row>
    <row r="41" spans="1:68" x14ac:dyDescent="0.35">
      <c r="A41" s="9">
        <v>39</v>
      </c>
      <c r="B41" s="9" t="s">
        <v>361</v>
      </c>
      <c r="C41" s="9" t="s">
        <v>362</v>
      </c>
      <c r="D41" s="9" t="s">
        <v>358</v>
      </c>
      <c r="E41" s="12" t="s">
        <v>100</v>
      </c>
      <c r="F41" s="9" t="s">
        <v>81</v>
      </c>
      <c r="G41" s="10"/>
      <c r="H41" s="10"/>
      <c r="I41" s="9" t="s">
        <v>345</v>
      </c>
      <c r="J41" s="9" t="s">
        <v>20</v>
      </c>
      <c r="K41" s="9"/>
      <c r="L41" s="9"/>
      <c r="M41" s="11" t="s">
        <v>83</v>
      </c>
      <c r="N41" s="9"/>
      <c r="O41" s="9" t="s">
        <v>84</v>
      </c>
      <c r="P41" s="12" t="s">
        <v>89</v>
      </c>
      <c r="Q41" s="9">
        <f>IF(IniciativasIA[[#This Row],[Viabilidad]]="Alta",3,IF(IniciativasIA[[#This Row],[Viabilidad]]="Media",2,1))</f>
        <v>2</v>
      </c>
      <c r="R41" s="9"/>
      <c r="S41" s="9" t="s">
        <v>87</v>
      </c>
      <c r="T41" s="9"/>
      <c r="U41" s="9" t="s">
        <v>120</v>
      </c>
      <c r="V41" s="9" t="s">
        <v>121</v>
      </c>
      <c r="W41" s="9">
        <f>IF(IniciativasIA[[#This Row],[Complejidad]]="Alta",3,IF(IniciativasIA[[#This Row],[Complejidad]]="Media",2,1))</f>
        <v>1</v>
      </c>
      <c r="X41" s="9" t="s">
        <v>90</v>
      </c>
      <c r="Y41" s="12" t="s">
        <v>121</v>
      </c>
      <c r="Z41" s="12" t="s">
        <v>359</v>
      </c>
      <c r="AA41" s="12" t="s">
        <v>197</v>
      </c>
      <c r="AB41" s="12" t="s">
        <v>109</v>
      </c>
      <c r="AC41" s="10"/>
      <c r="AD41" s="10"/>
      <c r="AE41" s="12" t="s">
        <v>121</v>
      </c>
      <c r="AF41" s="1">
        <v>6</v>
      </c>
      <c r="AG41" s="1">
        <v>8</v>
      </c>
      <c r="AH41" s="1">
        <v>7</v>
      </c>
      <c r="AI41" s="1">
        <v>7</v>
      </c>
      <c r="AJ41" s="1">
        <v>6</v>
      </c>
      <c r="AK41" s="1">
        <v>6</v>
      </c>
      <c r="AL41" s="1">
        <v>3</v>
      </c>
      <c r="AM41" s="4">
        <f>IFERROR((IniciativasIA[[#This Row],[Reach]]*IniciativasIA[[#This Row],[Impact]]*IniciativasIA[[#This Row],[Confidence]])/(IniciativasIA[[#This Row],[Effort]]*IniciativasIA[[#This Row],[AI Complexity]]/2),)</f>
        <v>32.666666666666664</v>
      </c>
      <c r="AN41" s="16">
        <f>(RANK(IniciativasIA[[#This Row],[RIC]],IniciativasIA[RIC],1)-1) / (COUNT(IniciativasIA[RIC])-1)</f>
        <v>0.875</v>
      </c>
      <c r="AO41" s="12"/>
      <c r="AP41" s="12"/>
      <c r="AQ41" s="9" t="s">
        <v>199</v>
      </c>
      <c r="AR41" s="12"/>
      <c r="AS41" s="13">
        <v>46023</v>
      </c>
      <c r="AT41" s="13">
        <v>46087</v>
      </c>
      <c r="AU41" s="17"/>
      <c r="AV41" s="17"/>
      <c r="AW41" s="17"/>
      <c r="AX41" s="17"/>
      <c r="AY41" s="17"/>
      <c r="AZ41" s="17"/>
      <c r="BA41" s="5" t="s">
        <v>110</v>
      </c>
      <c r="BB41" s="5" t="s">
        <v>111</v>
      </c>
      <c r="BC41" s="5" t="str" cm="1">
        <f t="array" aca="1" ref="BC41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41" s="19" t="str" cm="1">
        <f t="array" aca="1" ref="BD41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41" s="20">
        <v>1</v>
      </c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5"/>
    </row>
    <row r="42" spans="1:68" x14ac:dyDescent="0.35">
      <c r="A42" s="9">
        <v>40</v>
      </c>
      <c r="B42" s="9" t="s">
        <v>363</v>
      </c>
      <c r="C42" s="9" t="s">
        <v>364</v>
      </c>
      <c r="D42" s="9" t="s">
        <v>79</v>
      </c>
      <c r="E42" s="9" t="s">
        <v>80</v>
      </c>
      <c r="F42" s="9" t="s">
        <v>81</v>
      </c>
      <c r="G42" s="10"/>
      <c r="H42" s="10"/>
      <c r="I42" s="9" t="s">
        <v>82</v>
      </c>
      <c r="J42" s="9" t="s">
        <v>19</v>
      </c>
      <c r="K42" s="11" t="s">
        <v>83</v>
      </c>
      <c r="L42" s="9"/>
      <c r="M42" s="11" t="s">
        <v>83</v>
      </c>
      <c r="N42" s="9"/>
      <c r="O42" s="9" t="s">
        <v>222</v>
      </c>
      <c r="P42" s="12" t="s">
        <v>85</v>
      </c>
      <c r="Q42" s="9">
        <f>IF(IniciativasIA[[#This Row],[Viabilidad]]="Alta",3,IF(IniciativasIA[[#This Row],[Viabilidad]]="Media",2,1))</f>
        <v>3</v>
      </c>
      <c r="R42" s="9"/>
      <c r="S42" s="9" t="s">
        <v>87</v>
      </c>
      <c r="T42" s="9"/>
      <c r="U42" s="9" t="s">
        <v>120</v>
      </c>
      <c r="V42" s="12" t="s">
        <v>89</v>
      </c>
      <c r="W42" s="9">
        <f>IF(IniciativasIA[[#This Row],[Complejidad]]="Alta",3,IF(IniciativasIA[[#This Row],[Complejidad]]="Media",2,1))</f>
        <v>2</v>
      </c>
      <c r="X42" s="9" t="s">
        <v>134</v>
      </c>
      <c r="Y42" s="12" t="s">
        <v>89</v>
      </c>
      <c r="Z42" s="9" t="s">
        <v>365</v>
      </c>
      <c r="AA42" s="9" t="s">
        <v>106</v>
      </c>
      <c r="AB42" s="9" t="s">
        <v>322</v>
      </c>
      <c r="AC42" s="10"/>
      <c r="AD42" s="10"/>
      <c r="AE42" s="12" t="s">
        <v>85</v>
      </c>
      <c r="AF42" s="1">
        <v>7.5</v>
      </c>
      <c r="AG42" s="1">
        <v>7</v>
      </c>
      <c r="AH42" s="1">
        <v>6</v>
      </c>
      <c r="AI42" s="1">
        <v>8</v>
      </c>
      <c r="AJ42" s="1">
        <v>8</v>
      </c>
      <c r="AK42" s="1">
        <v>5</v>
      </c>
      <c r="AL42" s="1">
        <v>5</v>
      </c>
      <c r="AM42" s="4">
        <f>IFERROR((IniciativasIA[[#This Row],[Reach]]*IniciativasIA[[#This Row],[Impact]]*IniciativasIA[[#This Row],[Confidence]])/(IniciativasIA[[#This Row],[Effort]]*IniciativasIA[[#This Row],[AI Complexity]]/2),)</f>
        <v>30.72</v>
      </c>
      <c r="AN42" s="16">
        <f>(RANK(IniciativasIA[[#This Row],[RIC]],IniciativasIA[RIC],1)-1) / (COUNT(IniciativasIA[RIC])-1)</f>
        <v>0.8035714285714286</v>
      </c>
      <c r="AO42" s="12"/>
      <c r="AP42" s="12"/>
      <c r="AQ42" s="9" t="s">
        <v>96</v>
      </c>
      <c r="AR42" s="12"/>
      <c r="AS42" s="13">
        <v>46023</v>
      </c>
      <c r="AT42" s="13"/>
      <c r="AU42" s="17"/>
      <c r="AV42" s="17"/>
      <c r="AW42" s="17"/>
      <c r="AX42" s="17"/>
      <c r="AY42" s="13">
        <v>46023</v>
      </c>
      <c r="AZ42" s="17">
        <v>46234</v>
      </c>
      <c r="BA42" s="5" t="s">
        <v>366</v>
      </c>
      <c r="BB42" s="5"/>
      <c r="BC42" s="5" t="str" cm="1">
        <f t="array" aca="1" ref="BC42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Mantenimiento</v>
      </c>
      <c r="BD42" s="19" cm="1">
        <f t="array" aca="1" ref="BD42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46234</v>
      </c>
      <c r="BE42" s="20"/>
      <c r="BF42" s="1"/>
      <c r="BG42" s="1"/>
      <c r="BH42" s="1" t="s">
        <v>367</v>
      </c>
      <c r="BI42" s="1"/>
      <c r="BJ42" s="1"/>
      <c r="BK42" s="1" t="s">
        <v>178</v>
      </c>
      <c r="BL42" s="1"/>
      <c r="BM42" s="1"/>
      <c r="BN42" s="1"/>
      <c r="BO42" s="1"/>
      <c r="BP42" s="5"/>
    </row>
    <row r="43" spans="1:68" x14ac:dyDescent="0.35">
      <c r="A43" s="9">
        <v>41</v>
      </c>
      <c r="B43" s="9" t="s">
        <v>368</v>
      </c>
      <c r="C43" s="9" t="s">
        <v>369</v>
      </c>
      <c r="D43" s="9" t="s">
        <v>79</v>
      </c>
      <c r="E43" s="9" t="s">
        <v>80</v>
      </c>
      <c r="F43" s="9" t="s">
        <v>81</v>
      </c>
      <c r="G43" s="10"/>
      <c r="H43" s="10"/>
      <c r="I43" s="14"/>
      <c r="J43" s="9" t="s">
        <v>21</v>
      </c>
      <c r="K43" s="9"/>
      <c r="L43" s="9"/>
      <c r="M43" s="9"/>
      <c r="N43" s="9"/>
      <c r="O43" s="12"/>
      <c r="P43" s="12"/>
      <c r="Q43" s="9">
        <f>IF(IniciativasIA[[#This Row],[Viabilidad]]="Alta",3,IF(IniciativasIA[[#This Row],[Viabilidad]]="Media",2,1))</f>
        <v>1</v>
      </c>
      <c r="R43" s="9"/>
      <c r="S43" s="12"/>
      <c r="T43" s="12"/>
      <c r="U43" s="12"/>
      <c r="V43" s="12"/>
      <c r="W43" s="9">
        <f>IF(IniciativasIA[[#This Row],[Complejidad]]="Alta",3,IF(IniciativasIA[[#This Row],[Complejidad]]="Media",2,1))</f>
        <v>1</v>
      </c>
      <c r="X43" s="12"/>
      <c r="Y43" s="12"/>
      <c r="Z43" s="12"/>
      <c r="AA43" s="12" t="s">
        <v>197</v>
      </c>
      <c r="AB43" s="12"/>
      <c r="AC43" s="10"/>
      <c r="AD43" s="10"/>
      <c r="AE43" s="12"/>
      <c r="AF43" s="5"/>
      <c r="AG43" s="5"/>
      <c r="AH43" s="5"/>
      <c r="AI43" s="5"/>
      <c r="AJ43" s="5"/>
      <c r="AK43" s="5"/>
      <c r="AL43" s="5"/>
      <c r="AM43" s="4">
        <f>IFERROR((IniciativasIA[[#This Row],[Reach]]*IniciativasIA[[#This Row],[Impact]]*IniciativasIA[[#This Row],[Confidence]])/(IniciativasIA[[#This Row],[Effort]]*IniciativasIA[[#This Row],[AI Complexity]]/2),)</f>
        <v>0</v>
      </c>
      <c r="AN43" s="16">
        <f>(RANK(IniciativasIA[[#This Row],[RIC]],IniciativasIA[RIC],1)-1) / (COUNT(IniciativasIA[RIC])-1)</f>
        <v>0</v>
      </c>
      <c r="AO43" s="12"/>
      <c r="AP43" s="12"/>
      <c r="AQ43" s="12"/>
      <c r="AR43" s="12"/>
      <c r="AS43" s="13">
        <v>46023</v>
      </c>
      <c r="AT43" s="13"/>
      <c r="AU43" s="17"/>
      <c r="AV43" s="17"/>
      <c r="AW43" s="17"/>
      <c r="AX43" s="17"/>
      <c r="AY43" s="17"/>
      <c r="AZ43" s="17"/>
      <c r="BA43" s="5"/>
      <c r="BB43" s="5"/>
      <c r="BC43" s="5" t="str" cm="1">
        <f t="array" aca="1" ref="BC43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43" s="19" t="str" cm="1">
        <f t="array" aca="1" ref="BD43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43" s="20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5"/>
    </row>
    <row r="44" spans="1:68" x14ac:dyDescent="0.35">
      <c r="A44" s="9">
        <v>42</v>
      </c>
      <c r="B44" s="9" t="s">
        <v>370</v>
      </c>
      <c r="C44" s="9" t="s">
        <v>371</v>
      </c>
      <c r="D44" s="9" t="s">
        <v>79</v>
      </c>
      <c r="E44" s="12" t="s">
        <v>372</v>
      </c>
      <c r="F44" s="9" t="s">
        <v>81</v>
      </c>
      <c r="G44" s="10"/>
      <c r="H44" s="10"/>
      <c r="I44" s="14"/>
      <c r="J44" s="9" t="s">
        <v>21</v>
      </c>
      <c r="K44" s="9"/>
      <c r="L44" s="9"/>
      <c r="M44" s="9"/>
      <c r="N44" s="9"/>
      <c r="O44" s="12"/>
      <c r="P44" s="12"/>
      <c r="Q44" s="9">
        <f>IF(IniciativasIA[[#This Row],[Viabilidad]]="Alta",3,IF(IniciativasIA[[#This Row],[Viabilidad]]="Media",2,1))</f>
        <v>1</v>
      </c>
      <c r="R44" s="9"/>
      <c r="S44" s="12"/>
      <c r="T44" s="12"/>
      <c r="U44" s="12"/>
      <c r="V44" s="12"/>
      <c r="W44" s="9">
        <f>IF(IniciativasIA[[#This Row],[Complejidad]]="Alta",3,IF(IniciativasIA[[#This Row],[Complejidad]]="Media",2,1))</f>
        <v>1</v>
      </c>
      <c r="X44" s="12"/>
      <c r="Y44" s="12"/>
      <c r="Z44" s="12"/>
      <c r="AA44" s="12" t="s">
        <v>197</v>
      </c>
      <c r="AB44" s="12"/>
      <c r="AC44" s="10"/>
      <c r="AD44" s="10"/>
      <c r="AE44" s="12"/>
      <c r="AF44" s="5"/>
      <c r="AG44" s="5"/>
      <c r="AH44" s="5"/>
      <c r="AI44" s="5"/>
      <c r="AJ44" s="5"/>
      <c r="AK44" s="5"/>
      <c r="AL44" s="5"/>
      <c r="AM44" s="4">
        <f>IFERROR((IniciativasIA[[#This Row],[Reach]]*IniciativasIA[[#This Row],[Impact]]*IniciativasIA[[#This Row],[Confidence]])/(IniciativasIA[[#This Row],[Effort]]*IniciativasIA[[#This Row],[AI Complexity]]/2),)</f>
        <v>0</v>
      </c>
      <c r="AN44" s="16">
        <f>(RANK(IniciativasIA[[#This Row],[RIC]],IniciativasIA[RIC],1)-1) / (COUNT(IniciativasIA[RIC])-1)</f>
        <v>0</v>
      </c>
      <c r="AO44" s="12"/>
      <c r="AP44" s="12"/>
      <c r="AQ44" s="12"/>
      <c r="AR44" s="12"/>
      <c r="AS44" s="13">
        <v>46023</v>
      </c>
      <c r="AT44" s="13"/>
      <c r="AU44" s="17"/>
      <c r="AV44" s="17"/>
      <c r="AW44" s="17"/>
      <c r="AX44" s="17"/>
      <c r="AY44" s="17"/>
      <c r="AZ44" s="17"/>
      <c r="BA44" s="5"/>
      <c r="BB44" s="5"/>
      <c r="BC44" s="5" t="str" cm="1">
        <f t="array" aca="1" ref="BC44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44" s="19" t="str" cm="1">
        <f t="array" aca="1" ref="BD44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44" s="20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5"/>
    </row>
    <row r="45" spans="1:68" x14ac:dyDescent="0.35">
      <c r="A45" s="9">
        <v>43</v>
      </c>
      <c r="B45" s="9" t="s">
        <v>373</v>
      </c>
      <c r="C45" s="9" t="s">
        <v>374</v>
      </c>
      <c r="D45" s="9" t="s">
        <v>337</v>
      </c>
      <c r="E45" s="12" t="s">
        <v>240</v>
      </c>
      <c r="F45" s="9" t="s">
        <v>81</v>
      </c>
      <c r="G45" s="10">
        <v>600</v>
      </c>
      <c r="H45" s="10"/>
      <c r="I45" s="12" t="s">
        <v>101</v>
      </c>
      <c r="J45" s="12" t="s">
        <v>20</v>
      </c>
      <c r="K45" s="11" t="s">
        <v>83</v>
      </c>
      <c r="L45" s="11" t="s">
        <v>83</v>
      </c>
      <c r="M45" s="11"/>
      <c r="N45" s="11"/>
      <c r="O45" s="12" t="s">
        <v>84</v>
      </c>
      <c r="P45" s="12" t="s">
        <v>121</v>
      </c>
      <c r="Q45" s="9">
        <f>IF(IniciativasIA[[#This Row],[Viabilidad]]="Alta",3,IF(IniciativasIA[[#This Row],[Viabilidad]]="Media",2,1))</f>
        <v>1</v>
      </c>
      <c r="R45" s="9"/>
      <c r="S45" s="12" t="s">
        <v>87</v>
      </c>
      <c r="T45" s="12"/>
      <c r="U45" s="9" t="s">
        <v>120</v>
      </c>
      <c r="V45" s="9" t="s">
        <v>85</v>
      </c>
      <c r="W45" s="9">
        <f>IF(IniciativasIA[[#This Row],[Complejidad]]="Alta",3,IF(IniciativasIA[[#This Row],[Complejidad]]="Media",2,1))</f>
        <v>3</v>
      </c>
      <c r="X45" s="9" t="s">
        <v>134</v>
      </c>
      <c r="Y45" s="12" t="s">
        <v>89</v>
      </c>
      <c r="Z45" s="12" t="s">
        <v>339</v>
      </c>
      <c r="AA45" s="12" t="s">
        <v>92</v>
      </c>
      <c r="AB45" s="12" t="s">
        <v>151</v>
      </c>
      <c r="AC45" s="10">
        <f>G45*0.0001*1000000</f>
        <v>60000.000000000007</v>
      </c>
      <c r="AD45" s="10"/>
      <c r="AE45" s="12" t="s">
        <v>121</v>
      </c>
      <c r="AF45" s="5"/>
      <c r="AG45" s="5"/>
      <c r="AH45" s="5"/>
      <c r="AI45" s="5"/>
      <c r="AJ45" s="5"/>
      <c r="AK45" s="5"/>
      <c r="AL45" s="5"/>
      <c r="AM45" s="4">
        <f>IFERROR((IniciativasIA[[#This Row],[Reach]]*IniciativasIA[[#This Row],[Impact]]*IniciativasIA[[#This Row],[Confidence]])/(IniciativasIA[[#This Row],[Effort]]*IniciativasIA[[#This Row],[AI Complexity]]/2),)</f>
        <v>0</v>
      </c>
      <c r="AN45" s="16">
        <f>(RANK(IniciativasIA[[#This Row],[RIC]],IniciativasIA[RIC],1)-1) / (COUNT(IniciativasIA[RIC])-1)</f>
        <v>0</v>
      </c>
      <c r="AO45" s="9"/>
      <c r="AP45" s="12"/>
      <c r="AQ45" s="12" t="s">
        <v>96</v>
      </c>
      <c r="AR45" s="12"/>
      <c r="AS45" s="13">
        <v>46023</v>
      </c>
      <c r="AT45" s="13"/>
      <c r="AU45" s="17"/>
      <c r="AV45" s="17"/>
      <c r="AW45" s="17"/>
      <c r="AX45" s="17"/>
      <c r="AY45" s="17"/>
      <c r="AZ45" s="17"/>
      <c r="BA45" s="5"/>
      <c r="BB45" s="5"/>
      <c r="BC45" s="5" t="str" cm="1">
        <f t="array" aca="1" ref="BC45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45" s="19" t="str" cm="1">
        <f t="array" aca="1" ref="BD45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45" s="20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5"/>
    </row>
    <row r="46" spans="1:68" x14ac:dyDescent="0.35">
      <c r="A46" s="9">
        <v>44</v>
      </c>
      <c r="B46" s="9" t="s">
        <v>375</v>
      </c>
      <c r="C46" s="9" t="s">
        <v>376</v>
      </c>
      <c r="D46" s="9" t="s">
        <v>79</v>
      </c>
      <c r="E46" s="9" t="s">
        <v>132</v>
      </c>
      <c r="F46" s="9" t="s">
        <v>81</v>
      </c>
      <c r="G46" s="10">
        <v>2800</v>
      </c>
      <c r="H46" s="10"/>
      <c r="I46" s="9" t="s">
        <v>101</v>
      </c>
      <c r="J46" s="9" t="s">
        <v>21</v>
      </c>
      <c r="K46" s="11" t="s">
        <v>83</v>
      </c>
      <c r="L46" s="11"/>
      <c r="M46" s="11" t="s">
        <v>83</v>
      </c>
      <c r="N46" s="11"/>
      <c r="O46" s="9" t="s">
        <v>84</v>
      </c>
      <c r="P46" s="9" t="s">
        <v>85</v>
      </c>
      <c r="Q46" s="9">
        <f>IF(IniciativasIA[[#This Row],[Viabilidad]]="Alta",3,IF(IniciativasIA[[#This Row],[Viabilidad]]="Media",2,1))</f>
        <v>3</v>
      </c>
      <c r="R46" s="9"/>
      <c r="S46" s="9" t="s">
        <v>87</v>
      </c>
      <c r="T46" s="9"/>
      <c r="U46" s="9" t="s">
        <v>88</v>
      </c>
      <c r="V46" s="9" t="s">
        <v>85</v>
      </c>
      <c r="W46" s="9">
        <f>IF(IniciativasIA[[#This Row],[Complejidad]]="Alta",3,IF(IniciativasIA[[#This Row],[Complejidad]]="Media",2,1))</f>
        <v>3</v>
      </c>
      <c r="X46" s="9" t="s">
        <v>122</v>
      </c>
      <c r="Y46" s="9" t="s">
        <v>85</v>
      </c>
      <c r="Z46" s="9" t="s">
        <v>135</v>
      </c>
      <c r="AA46" s="12" t="s">
        <v>92</v>
      </c>
      <c r="AB46" s="9" t="s">
        <v>93</v>
      </c>
      <c r="AC46" s="10">
        <f>G46*0.0001*1000000</f>
        <v>280000</v>
      </c>
      <c r="AD46" s="10"/>
      <c r="AE46" s="9" t="s">
        <v>85</v>
      </c>
      <c r="AF46" s="1">
        <v>6.5</v>
      </c>
      <c r="AG46" s="1">
        <v>7</v>
      </c>
      <c r="AH46" s="1">
        <v>6</v>
      </c>
      <c r="AI46" s="1">
        <v>8</v>
      </c>
      <c r="AJ46" s="1">
        <v>8</v>
      </c>
      <c r="AK46" s="1">
        <v>9</v>
      </c>
      <c r="AL46" s="1">
        <v>4</v>
      </c>
      <c r="AM46" s="4">
        <f>IFERROR((IniciativasIA[[#This Row],[Reach]]*IniciativasIA[[#This Row],[Impact]]*IniciativasIA[[#This Row],[Confidence]])/(IniciativasIA[[#This Row],[Effort]]*IniciativasIA[[#This Row],[AI Complexity]]/2),)</f>
        <v>21.333333333333332</v>
      </c>
      <c r="AN46" s="16">
        <f>(RANK(IniciativasIA[[#This Row],[RIC]],IniciativasIA[RIC],1)-1) / (COUNT(IniciativasIA[RIC])-1)</f>
        <v>0.6071428571428571</v>
      </c>
      <c r="AO46" s="9"/>
      <c r="AP46" s="9"/>
      <c r="AQ46" s="9" t="s">
        <v>96</v>
      </c>
      <c r="AR46" s="12"/>
      <c r="AS46" s="13">
        <v>46023</v>
      </c>
      <c r="AT46" s="13">
        <v>45566</v>
      </c>
      <c r="AU46" s="17">
        <v>45658</v>
      </c>
      <c r="AV46" s="13">
        <v>45717</v>
      </c>
      <c r="AW46" s="13">
        <v>45717</v>
      </c>
      <c r="AX46" s="13">
        <v>45717</v>
      </c>
      <c r="AY46" s="13">
        <v>45717</v>
      </c>
      <c r="AZ46" s="13">
        <v>45717</v>
      </c>
      <c r="BA46" s="5" t="s">
        <v>126</v>
      </c>
      <c r="BB46" s="5" t="s">
        <v>127</v>
      </c>
      <c r="BC46" s="5" t="str" cm="1">
        <f t="array" aca="1" ref="BC46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Mantenimiento</v>
      </c>
      <c r="BD46" s="19" cm="1">
        <f t="array" aca="1" ref="BD46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45717</v>
      </c>
      <c r="BE46" s="20"/>
      <c r="BF46" s="1"/>
      <c r="BG46" s="1"/>
      <c r="BH46" s="1"/>
      <c r="BI46" s="1" t="s">
        <v>128</v>
      </c>
      <c r="BJ46" s="1"/>
      <c r="BK46" s="1" t="s">
        <v>129</v>
      </c>
      <c r="BL46" s="1"/>
      <c r="BM46" s="1"/>
      <c r="BN46" s="1"/>
      <c r="BO46" s="1"/>
      <c r="BP46" s="5"/>
    </row>
    <row r="47" spans="1:68" x14ac:dyDescent="0.35">
      <c r="A47" s="9">
        <v>45</v>
      </c>
      <c r="B47" s="9" t="s">
        <v>377</v>
      </c>
      <c r="C47" s="9" t="s">
        <v>378</v>
      </c>
      <c r="D47" s="9" t="s">
        <v>79</v>
      </c>
      <c r="E47" s="12" t="s">
        <v>132</v>
      </c>
      <c r="F47" s="9" t="s">
        <v>81</v>
      </c>
      <c r="G47" s="10">
        <v>2800</v>
      </c>
      <c r="H47" s="10"/>
      <c r="I47" s="12" t="s">
        <v>101</v>
      </c>
      <c r="J47" s="12" t="s">
        <v>19</v>
      </c>
      <c r="K47" s="11" t="s">
        <v>83</v>
      </c>
      <c r="L47" s="11"/>
      <c r="M47" s="11" t="s">
        <v>83</v>
      </c>
      <c r="N47" s="11"/>
      <c r="O47" s="12" t="s">
        <v>84</v>
      </c>
      <c r="P47" s="12" t="s">
        <v>85</v>
      </c>
      <c r="Q47" s="9">
        <f>IF(IniciativasIA[[#This Row],[Viabilidad]]="Alta",3,IF(IniciativasIA[[#This Row],[Viabilidad]]="Media",2,1))</f>
        <v>3</v>
      </c>
      <c r="R47" s="9"/>
      <c r="S47" s="12" t="s">
        <v>87</v>
      </c>
      <c r="T47" s="12"/>
      <c r="U47" s="12" t="s">
        <v>103</v>
      </c>
      <c r="V47" s="12" t="s">
        <v>85</v>
      </c>
      <c r="W47" s="9">
        <f>IF(IniciativasIA[[#This Row],[Complejidad]]="Alta",3,IF(IniciativasIA[[#This Row],[Complejidad]]="Media",2,1))</f>
        <v>3</v>
      </c>
      <c r="X47" s="12" t="s">
        <v>134</v>
      </c>
      <c r="Y47" s="12" t="s">
        <v>89</v>
      </c>
      <c r="Z47" s="12" t="s">
        <v>135</v>
      </c>
      <c r="AA47" s="12" t="s">
        <v>92</v>
      </c>
      <c r="AB47" s="12" t="s">
        <v>93</v>
      </c>
      <c r="AC47" s="10">
        <f>G47*0.0001*1000000</f>
        <v>280000</v>
      </c>
      <c r="AD47" s="10"/>
      <c r="AE47" s="12" t="s">
        <v>85</v>
      </c>
      <c r="AF47" s="1">
        <v>6</v>
      </c>
      <c r="AG47" s="1">
        <v>7</v>
      </c>
      <c r="AH47" s="1">
        <v>6</v>
      </c>
      <c r="AI47" s="1">
        <v>8</v>
      </c>
      <c r="AJ47" s="1">
        <v>8</v>
      </c>
      <c r="AK47" s="1">
        <v>9</v>
      </c>
      <c r="AL47" s="1">
        <v>4</v>
      </c>
      <c r="AM47" s="4">
        <f>IFERROR((IniciativasIA[[#This Row],[Reach]]*IniciativasIA[[#This Row],[Impact]]*IniciativasIA[[#This Row],[Confidence]])/(IniciativasIA[[#This Row],[Effort]]*IniciativasIA[[#This Row],[AI Complexity]]/2),)</f>
        <v>21.333333333333332</v>
      </c>
      <c r="AN47" s="16">
        <f>(RANK(IniciativasIA[[#This Row],[RIC]],IniciativasIA[RIC],1)-1) / (COUNT(IniciativasIA[RIC])-1)</f>
        <v>0.6071428571428571</v>
      </c>
      <c r="AO47" s="9"/>
      <c r="AP47" s="12"/>
      <c r="AQ47" s="12" t="s">
        <v>96</v>
      </c>
      <c r="AR47" s="12"/>
      <c r="AS47" s="13">
        <v>46023</v>
      </c>
      <c r="AT47" s="13">
        <v>46034</v>
      </c>
      <c r="AU47" s="17"/>
      <c r="AV47" s="17"/>
      <c r="AW47" s="13">
        <v>46053</v>
      </c>
      <c r="AX47" s="13">
        <v>46094</v>
      </c>
      <c r="AY47" s="13">
        <v>46142</v>
      </c>
      <c r="AZ47" s="13">
        <v>46203</v>
      </c>
      <c r="BA47" s="5" t="s">
        <v>126</v>
      </c>
      <c r="BB47" s="5" t="s">
        <v>137</v>
      </c>
      <c r="BC47" s="5" t="str" cm="1">
        <f t="array" aca="1" ref="BC47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Diseño</v>
      </c>
      <c r="BD47" s="19" cm="1">
        <f t="array" aca="1" ref="BD47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46094</v>
      </c>
      <c r="BE47" s="20"/>
      <c r="BF47" s="1"/>
      <c r="BG47" s="1"/>
      <c r="BH47" s="1" t="s">
        <v>140</v>
      </c>
      <c r="BI47" s="1" t="s">
        <v>128</v>
      </c>
      <c r="BJ47" s="1"/>
      <c r="BK47" s="1" t="s">
        <v>129</v>
      </c>
      <c r="BL47" s="1"/>
      <c r="BM47" s="1"/>
      <c r="BN47" s="1"/>
      <c r="BO47" s="1" t="s">
        <v>294</v>
      </c>
      <c r="BP47" s="5"/>
    </row>
    <row r="48" spans="1:68" x14ac:dyDescent="0.35">
      <c r="A48" s="9">
        <v>46</v>
      </c>
      <c r="B48" s="9" t="s">
        <v>379</v>
      </c>
      <c r="C48" s="9" t="s">
        <v>380</v>
      </c>
      <c r="D48" s="9" t="s">
        <v>79</v>
      </c>
      <c r="E48" s="12" t="s">
        <v>132</v>
      </c>
      <c r="F48" s="9" t="s">
        <v>81</v>
      </c>
      <c r="G48" s="10">
        <v>2800</v>
      </c>
      <c r="H48" s="10"/>
      <c r="I48" s="12" t="s">
        <v>101</v>
      </c>
      <c r="J48" s="12" t="s">
        <v>19</v>
      </c>
      <c r="K48" s="11" t="s">
        <v>83</v>
      </c>
      <c r="L48" s="11"/>
      <c r="M48" s="11" t="s">
        <v>83</v>
      </c>
      <c r="N48" s="11"/>
      <c r="O48" s="12" t="s">
        <v>84</v>
      </c>
      <c r="P48" s="12" t="s">
        <v>85</v>
      </c>
      <c r="Q48" s="9">
        <f>IF(IniciativasIA[[#This Row],[Viabilidad]]="Alta",3,IF(IniciativasIA[[#This Row],[Viabilidad]]="Media",2,1))</f>
        <v>3</v>
      </c>
      <c r="R48" s="9"/>
      <c r="S48" s="12" t="s">
        <v>87</v>
      </c>
      <c r="T48" s="12"/>
      <c r="U48" s="12" t="s">
        <v>103</v>
      </c>
      <c r="V48" s="12" t="s">
        <v>85</v>
      </c>
      <c r="W48" s="9">
        <f>IF(IniciativasIA[[#This Row],[Complejidad]]="Alta",3,IF(IniciativasIA[[#This Row],[Complejidad]]="Media",2,1))</f>
        <v>3</v>
      </c>
      <c r="X48" s="12" t="s">
        <v>134</v>
      </c>
      <c r="Y48" s="12" t="s">
        <v>89</v>
      </c>
      <c r="Z48" s="12" t="s">
        <v>135</v>
      </c>
      <c r="AA48" s="12" t="s">
        <v>92</v>
      </c>
      <c r="AB48" s="12" t="s">
        <v>93</v>
      </c>
      <c r="AC48" s="10">
        <f>G48*0.0001*1000000</f>
        <v>280000</v>
      </c>
      <c r="AD48" s="10"/>
      <c r="AE48" s="12" t="s">
        <v>89</v>
      </c>
      <c r="AF48" s="1">
        <v>5.5</v>
      </c>
      <c r="AG48" s="1">
        <v>7</v>
      </c>
      <c r="AH48" s="1">
        <v>6</v>
      </c>
      <c r="AI48" s="1">
        <v>7</v>
      </c>
      <c r="AJ48" s="1">
        <v>8</v>
      </c>
      <c r="AK48" s="1">
        <v>9</v>
      </c>
      <c r="AL48" s="1">
        <v>4</v>
      </c>
      <c r="AM48" s="4">
        <f>IFERROR((IniciativasIA[[#This Row],[Reach]]*IniciativasIA[[#This Row],[Impact]]*IniciativasIA[[#This Row],[Confidence]])/(IniciativasIA[[#This Row],[Effort]]*IniciativasIA[[#This Row],[AI Complexity]]/2),)</f>
        <v>18.666666666666668</v>
      </c>
      <c r="AN48" s="16">
        <f>(RANK(IniciativasIA[[#This Row],[RIC]],IniciativasIA[RIC],1)-1) / (COUNT(IniciativasIA[RIC])-1)</f>
        <v>0.5714285714285714</v>
      </c>
      <c r="AO48" s="9"/>
      <c r="AP48" s="12"/>
      <c r="AQ48" s="12" t="s">
        <v>96</v>
      </c>
      <c r="AR48" s="12"/>
      <c r="AS48" s="13">
        <v>46023</v>
      </c>
      <c r="AT48" s="13">
        <v>45992</v>
      </c>
      <c r="AU48" s="17">
        <v>45746</v>
      </c>
      <c r="AV48" s="17"/>
      <c r="AW48" s="17">
        <v>45777</v>
      </c>
      <c r="AX48" s="17">
        <v>45792</v>
      </c>
      <c r="AY48" s="17">
        <v>45838</v>
      </c>
      <c r="AZ48" s="17">
        <v>46234</v>
      </c>
      <c r="BA48" s="5" t="s">
        <v>126</v>
      </c>
      <c r="BB48" s="5" t="s">
        <v>137</v>
      </c>
      <c r="BC48" s="5" t="str" cm="1">
        <f t="array" aca="1" ref="BC48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Mantenimiento</v>
      </c>
      <c r="BD48" s="19" cm="1">
        <f t="array" aca="1" ref="BD48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46234</v>
      </c>
      <c r="BE48" s="20"/>
      <c r="BF48" s="1"/>
      <c r="BG48" s="1" t="s">
        <v>139</v>
      </c>
      <c r="BH48" s="1" t="s">
        <v>140</v>
      </c>
      <c r="BI48" s="1" t="s">
        <v>128</v>
      </c>
      <c r="BJ48" s="1"/>
      <c r="BK48" s="1" t="s">
        <v>141</v>
      </c>
      <c r="BL48" s="1"/>
      <c r="BM48" s="1"/>
      <c r="BN48" s="1"/>
      <c r="BO48" s="1" t="s">
        <v>142</v>
      </c>
      <c r="BP48" s="5"/>
    </row>
    <row r="49" spans="1:68" x14ac:dyDescent="0.35">
      <c r="A49" s="9">
        <v>47</v>
      </c>
      <c r="B49" s="9" t="s">
        <v>381</v>
      </c>
      <c r="C49" s="9" t="s">
        <v>382</v>
      </c>
      <c r="D49" s="9" t="s">
        <v>79</v>
      </c>
      <c r="E49" s="12" t="s">
        <v>132</v>
      </c>
      <c r="F49" s="9" t="s">
        <v>81</v>
      </c>
      <c r="G49" s="10">
        <v>2800</v>
      </c>
      <c r="H49" s="10"/>
      <c r="I49" s="12" t="s">
        <v>101</v>
      </c>
      <c r="J49" s="12" t="s">
        <v>19</v>
      </c>
      <c r="K49" s="11" t="s">
        <v>83</v>
      </c>
      <c r="L49" s="11" t="s">
        <v>83</v>
      </c>
      <c r="M49" s="11"/>
      <c r="N49" s="11"/>
      <c r="O49" s="12" t="s">
        <v>84</v>
      </c>
      <c r="P49" s="12" t="s">
        <v>121</v>
      </c>
      <c r="Q49" s="9">
        <f>IF(IniciativasIA[[#This Row],[Viabilidad]]="Alta",3,IF(IniciativasIA[[#This Row],[Viabilidad]]="Media",2,1))</f>
        <v>1</v>
      </c>
      <c r="R49" s="9"/>
      <c r="S49" s="12" t="s">
        <v>87</v>
      </c>
      <c r="T49" s="12"/>
      <c r="U49" s="12" t="s">
        <v>103</v>
      </c>
      <c r="V49" s="12" t="s">
        <v>85</v>
      </c>
      <c r="W49" s="9">
        <f>IF(IniciativasIA[[#This Row],[Complejidad]]="Alta",3,IF(IniciativasIA[[#This Row],[Complejidad]]="Media",2,1))</f>
        <v>3</v>
      </c>
      <c r="X49" s="12" t="s">
        <v>134</v>
      </c>
      <c r="Y49" s="12" t="s">
        <v>89</v>
      </c>
      <c r="Z49" s="12" t="s">
        <v>135</v>
      </c>
      <c r="AA49" s="12" t="s">
        <v>92</v>
      </c>
      <c r="AB49" s="12" t="s">
        <v>93</v>
      </c>
      <c r="AC49" s="10">
        <f>G49*0.0001*1000000</f>
        <v>280000</v>
      </c>
      <c r="AD49" s="10"/>
      <c r="AE49" s="12" t="s">
        <v>121</v>
      </c>
      <c r="AF49" s="5"/>
      <c r="AG49" s="5"/>
      <c r="AH49" s="5"/>
      <c r="AI49" s="5"/>
      <c r="AJ49" s="5"/>
      <c r="AK49" s="5"/>
      <c r="AL49" s="5"/>
      <c r="AM49" s="4">
        <f>IFERROR((IniciativasIA[[#This Row],[Reach]]*IniciativasIA[[#This Row],[Impact]]*IniciativasIA[[#This Row],[Confidence]])/(IniciativasIA[[#This Row],[Effort]]*IniciativasIA[[#This Row],[AI Complexity]]/2),)</f>
        <v>0</v>
      </c>
      <c r="AN49" s="16">
        <f>(RANK(IniciativasIA[[#This Row],[RIC]],IniciativasIA[RIC],1)-1) / (COUNT(IniciativasIA[RIC])-1)</f>
        <v>0</v>
      </c>
      <c r="AO49" s="9"/>
      <c r="AP49" s="12"/>
      <c r="AQ49" s="12" t="s">
        <v>96</v>
      </c>
      <c r="AR49" s="12"/>
      <c r="AS49" s="13">
        <v>46023</v>
      </c>
      <c r="AT49" s="13"/>
      <c r="AU49" s="17"/>
      <c r="AV49" s="17"/>
      <c r="AW49" s="17"/>
      <c r="AX49" s="17"/>
      <c r="AY49" s="17"/>
      <c r="AZ49" s="17"/>
      <c r="BA49" s="5"/>
      <c r="BB49" s="5"/>
      <c r="BC49" s="5" t="str" cm="1">
        <f t="array" aca="1" ref="BC49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49" s="19" t="str" cm="1">
        <f t="array" aca="1" ref="BD49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49" s="20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5"/>
    </row>
    <row r="50" spans="1:68" x14ac:dyDescent="0.35">
      <c r="A50" s="9">
        <v>48</v>
      </c>
      <c r="B50" s="9" t="s">
        <v>383</v>
      </c>
      <c r="C50" s="9" t="s">
        <v>384</v>
      </c>
      <c r="D50" s="9" t="s">
        <v>352</v>
      </c>
      <c r="E50" s="12" t="s">
        <v>100</v>
      </c>
      <c r="F50" s="9"/>
      <c r="G50" s="10"/>
      <c r="H50" s="10"/>
      <c r="I50" s="12"/>
      <c r="J50" s="12" t="s">
        <v>20</v>
      </c>
      <c r="K50" s="9"/>
      <c r="L50" s="9"/>
      <c r="M50" s="9"/>
      <c r="N50" s="9"/>
      <c r="O50" s="12"/>
      <c r="P50" s="12" t="s">
        <v>85</v>
      </c>
      <c r="Q50" s="9">
        <f>IF(IniciativasIA[[#This Row],[Viabilidad]]="Alta",3,IF(IniciativasIA[[#This Row],[Viabilidad]]="Media",2,1))</f>
        <v>3</v>
      </c>
      <c r="R50" s="9"/>
      <c r="S50" s="12"/>
      <c r="T50" s="12"/>
      <c r="U50" s="12"/>
      <c r="V50" s="12" t="s">
        <v>89</v>
      </c>
      <c r="W50" s="9">
        <f>IF(IniciativasIA[[#This Row],[Complejidad]]="Alta",3,IF(IniciativasIA[[#This Row],[Complejidad]]="Media",2,1))</f>
        <v>2</v>
      </c>
      <c r="X50" s="12"/>
      <c r="Y50" s="12"/>
      <c r="Z50" s="12" t="s">
        <v>85</v>
      </c>
      <c r="AA50" s="12" t="s">
        <v>150</v>
      </c>
      <c r="AB50" s="12"/>
      <c r="AC50" s="10"/>
      <c r="AD50" s="10"/>
      <c r="AE50" s="12"/>
      <c r="AF50" s="5"/>
      <c r="AG50" s="5"/>
      <c r="AH50" s="5"/>
      <c r="AI50" s="5"/>
      <c r="AJ50" s="5"/>
      <c r="AK50" s="5"/>
      <c r="AL50" s="5"/>
      <c r="AM50" s="4">
        <f>IFERROR((IniciativasIA[[#This Row],[Reach]]*IniciativasIA[[#This Row],[Impact]]*IniciativasIA[[#This Row],[Confidence]])/(IniciativasIA[[#This Row],[Effort]]*IniciativasIA[[#This Row],[AI Complexity]]/2),)</f>
        <v>0</v>
      </c>
      <c r="AN50" s="16">
        <f>(RANK(IniciativasIA[[#This Row],[RIC]],IniciativasIA[RIC],1)-1) / (COUNT(IniciativasIA[RIC])-1)</f>
        <v>0</v>
      </c>
      <c r="AO50" s="12"/>
      <c r="AP50" s="12"/>
      <c r="AQ50" s="12"/>
      <c r="AR50" s="12"/>
      <c r="AS50" s="13">
        <v>46069</v>
      </c>
      <c r="AT50" s="13"/>
      <c r="AU50" s="17"/>
      <c r="AV50" s="17"/>
      <c r="AW50" s="17"/>
      <c r="AX50" s="17"/>
      <c r="AY50" s="17"/>
      <c r="AZ50" s="17"/>
      <c r="BA50" s="5"/>
      <c r="BB50" s="5"/>
      <c r="BC50" s="5" t="str" cm="1">
        <f t="array" aca="1" ref="BC50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50" s="19" t="str" cm="1">
        <f t="array" aca="1" ref="BD50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50" s="20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5"/>
    </row>
    <row r="51" spans="1:68" x14ac:dyDescent="0.35">
      <c r="A51" s="9">
        <v>49</v>
      </c>
      <c r="B51" s="9" t="s">
        <v>385</v>
      </c>
      <c r="C51" s="9" t="s">
        <v>386</v>
      </c>
      <c r="D51" s="9" t="s">
        <v>181</v>
      </c>
      <c r="E51" s="12" t="s">
        <v>387</v>
      </c>
      <c r="F51" s="9"/>
      <c r="G51" s="10"/>
      <c r="H51" s="10"/>
      <c r="I51" s="12"/>
      <c r="J51" s="12" t="s">
        <v>20</v>
      </c>
      <c r="K51" s="9"/>
      <c r="L51" s="9"/>
      <c r="M51" s="9"/>
      <c r="N51" s="9"/>
      <c r="O51" s="12"/>
      <c r="P51" s="12" t="s">
        <v>89</v>
      </c>
      <c r="Q51" s="9">
        <f>IF(IniciativasIA[[#This Row],[Viabilidad]]="Alta",3,IF(IniciativasIA[[#This Row],[Viabilidad]]="Media",2,1))</f>
        <v>2</v>
      </c>
      <c r="R51" s="9"/>
      <c r="S51" s="12"/>
      <c r="T51" s="12"/>
      <c r="U51" s="12"/>
      <c r="V51" s="12" t="s">
        <v>85</v>
      </c>
      <c r="W51" s="9">
        <f>IF(IniciativasIA[[#This Row],[Complejidad]]="Alta",3,IF(IniciativasIA[[#This Row],[Complejidad]]="Media",2,1))</f>
        <v>3</v>
      </c>
      <c r="X51" s="12"/>
      <c r="Y51" s="12"/>
      <c r="Z51" s="12" t="s">
        <v>388</v>
      </c>
      <c r="AA51" s="12" t="s">
        <v>106</v>
      </c>
      <c r="AB51" s="12"/>
      <c r="AC51" s="10"/>
      <c r="AD51" s="10"/>
      <c r="AE51" s="12"/>
      <c r="AF51" s="5"/>
      <c r="AG51" s="5"/>
      <c r="AH51" s="5"/>
      <c r="AI51" s="5"/>
      <c r="AJ51" s="5"/>
      <c r="AK51" s="5"/>
      <c r="AL51" s="5"/>
      <c r="AM51" s="4">
        <f>IFERROR((IniciativasIA[[#This Row],[Reach]]*IniciativasIA[[#This Row],[Impact]]*IniciativasIA[[#This Row],[Confidence]])/(IniciativasIA[[#This Row],[Effort]]*IniciativasIA[[#This Row],[AI Complexity]]/2),)</f>
        <v>0</v>
      </c>
      <c r="AN51" s="16">
        <f>(RANK(IniciativasIA[[#This Row],[RIC]],IniciativasIA[RIC],1)-1) / (COUNT(IniciativasIA[RIC])-1)</f>
        <v>0</v>
      </c>
      <c r="AO51" s="12"/>
      <c r="AP51" s="12"/>
      <c r="AQ51" s="12"/>
      <c r="AR51" s="12"/>
      <c r="AS51" s="13">
        <v>46069</v>
      </c>
      <c r="AT51" s="13"/>
      <c r="AU51" s="17"/>
      <c r="AV51" s="17"/>
      <c r="AW51" s="17"/>
      <c r="AX51" s="17"/>
      <c r="AY51" s="17"/>
      <c r="AZ51" s="17"/>
      <c r="BA51" s="5"/>
      <c r="BB51" s="5"/>
      <c r="BC51" s="5" t="str" cm="1">
        <f t="array" aca="1" ref="BC51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51" s="19" t="str" cm="1">
        <f t="array" aca="1" ref="BD51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51" s="20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5"/>
    </row>
    <row r="52" spans="1:68" x14ac:dyDescent="0.35">
      <c r="A52" s="9">
        <v>50</v>
      </c>
      <c r="B52" s="9" t="s">
        <v>389</v>
      </c>
      <c r="C52" s="9" t="s">
        <v>390</v>
      </c>
      <c r="D52" s="9" t="s">
        <v>303</v>
      </c>
      <c r="E52" s="9" t="s">
        <v>304</v>
      </c>
      <c r="F52" s="9" t="s">
        <v>213</v>
      </c>
      <c r="G52" s="10">
        <v>190</v>
      </c>
      <c r="H52" s="10"/>
      <c r="I52" s="12"/>
      <c r="J52" s="9" t="s">
        <v>21</v>
      </c>
      <c r="K52" s="9"/>
      <c r="L52" s="9"/>
      <c r="M52" s="9"/>
      <c r="N52" s="9"/>
      <c r="O52" s="12"/>
      <c r="P52" s="12"/>
      <c r="Q52" s="9">
        <f>IF(IniciativasIA[[#This Row],[Viabilidad]]="Alta",3,IF(IniciativasIA[[#This Row],[Viabilidad]]="Media",2,1))</f>
        <v>1</v>
      </c>
      <c r="R52" s="9"/>
      <c r="S52" s="12"/>
      <c r="T52" s="12"/>
      <c r="U52" s="12"/>
      <c r="V52" s="12"/>
      <c r="W52" s="9">
        <f>IF(IniciativasIA[[#This Row],[Complejidad]]="Alta",3,IF(IniciativasIA[[#This Row],[Complejidad]]="Media",2,1))</f>
        <v>1</v>
      </c>
      <c r="X52" s="12"/>
      <c r="Y52" s="12"/>
      <c r="Z52" s="12"/>
      <c r="AA52" s="12" t="s">
        <v>92</v>
      </c>
      <c r="AB52" s="12"/>
      <c r="AC52" s="10"/>
      <c r="AD52" s="10"/>
      <c r="AE52" s="12"/>
      <c r="AF52" s="5"/>
      <c r="AG52" s="5"/>
      <c r="AH52" s="5"/>
      <c r="AI52" s="5"/>
      <c r="AJ52" s="5"/>
      <c r="AK52" s="5"/>
      <c r="AL52" s="5"/>
      <c r="AM52" s="4">
        <f>IFERROR((IniciativasIA[[#This Row],[Reach]]*IniciativasIA[[#This Row],[Impact]]*IniciativasIA[[#This Row],[Confidence]])/(IniciativasIA[[#This Row],[Effort]]*IniciativasIA[[#This Row],[AI Complexity]]/2),)</f>
        <v>0</v>
      </c>
      <c r="AN52" s="16">
        <f>(RANK(IniciativasIA[[#This Row],[RIC]],IniciativasIA[RIC],1)-1) / (COUNT(IniciativasIA[RIC])-1)</f>
        <v>0</v>
      </c>
      <c r="AO52" s="12"/>
      <c r="AP52" s="12"/>
      <c r="AQ52" s="12"/>
      <c r="AR52" s="12"/>
      <c r="AS52" s="13"/>
      <c r="AT52" s="13"/>
      <c r="AU52" s="17"/>
      <c r="AV52" s="17"/>
      <c r="AW52" s="17"/>
      <c r="AX52" s="17"/>
      <c r="AY52" s="17"/>
      <c r="AZ52" s="17"/>
      <c r="BA52" s="5"/>
      <c r="BB52" s="5"/>
      <c r="BC52" s="5" t="str" cm="1">
        <f t="array" aca="1" ref="BC52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52" s="19" t="str" cm="1">
        <f t="array" aca="1" ref="BD52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52" s="20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x14ac:dyDescent="0.35">
      <c r="A53" s="9">
        <v>51</v>
      </c>
      <c r="B53" s="9" t="s">
        <v>391</v>
      </c>
      <c r="C53" s="9"/>
      <c r="D53" s="9" t="s">
        <v>194</v>
      </c>
      <c r="E53" s="12"/>
      <c r="F53" s="9"/>
      <c r="G53" s="10"/>
      <c r="H53" s="10"/>
      <c r="I53" s="12"/>
      <c r="J53" s="12"/>
      <c r="K53" s="9"/>
      <c r="L53" s="9"/>
      <c r="M53" s="9"/>
      <c r="N53" s="9"/>
      <c r="O53" s="12"/>
      <c r="P53" s="12"/>
      <c r="Q53" s="9">
        <f>IF(IniciativasIA[[#This Row],[Viabilidad]]="Alta",3,IF(IniciativasIA[[#This Row],[Viabilidad]]="Media",2,1))</f>
        <v>1</v>
      </c>
      <c r="R53" s="9"/>
      <c r="S53" s="12"/>
      <c r="T53" s="12"/>
      <c r="U53" s="12"/>
      <c r="V53" s="12"/>
      <c r="W53" s="9">
        <f>IF(IniciativasIA[[#This Row],[Complejidad]]="Alta",3,IF(IniciativasIA[[#This Row],[Complejidad]]="Media",2,1))</f>
        <v>1</v>
      </c>
      <c r="X53" s="12"/>
      <c r="Y53" s="12"/>
      <c r="Z53" s="12"/>
      <c r="AA53" s="12"/>
      <c r="AB53" s="12"/>
      <c r="AC53" s="10"/>
      <c r="AD53" s="10"/>
      <c r="AE53" s="12"/>
      <c r="AF53" s="5"/>
      <c r="AG53" s="5"/>
      <c r="AH53" s="5"/>
      <c r="AI53" s="5"/>
      <c r="AJ53" s="5"/>
      <c r="AK53" s="5"/>
      <c r="AL53" s="5"/>
      <c r="AM53" s="4">
        <f>IFERROR((IniciativasIA[[#This Row],[Reach]]*IniciativasIA[[#This Row],[Impact]]*IniciativasIA[[#This Row],[Confidence]])/(IniciativasIA[[#This Row],[Effort]]*IniciativasIA[[#This Row],[AI Complexity]]/2),)</f>
        <v>0</v>
      </c>
      <c r="AN53" s="16">
        <f>(RANK(IniciativasIA[[#This Row],[RIC]],IniciativasIA[RIC],1)-1) / (COUNT(IniciativasIA[RIC])-1)</f>
        <v>0</v>
      </c>
      <c r="AO53" s="12"/>
      <c r="AP53" s="12"/>
      <c r="AQ53" s="12"/>
      <c r="AR53" s="12"/>
      <c r="AS53" s="13"/>
      <c r="AT53" s="13"/>
      <c r="AU53" s="17"/>
      <c r="AV53" s="17"/>
      <c r="AW53" s="17"/>
      <c r="AX53" s="17"/>
      <c r="AY53" s="17"/>
      <c r="AZ53" s="17"/>
      <c r="BA53" s="5"/>
      <c r="BB53" s="5"/>
      <c r="BC53" s="5" t="str" cm="1">
        <f t="array" aca="1" ref="BC53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53" s="19" t="str" cm="1">
        <f t="array" aca="1" ref="BD53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53" s="20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x14ac:dyDescent="0.35">
      <c r="A54" s="9">
        <v>52</v>
      </c>
      <c r="B54" s="9" t="s">
        <v>404</v>
      </c>
      <c r="C54" s="9"/>
      <c r="D54" s="9" t="s">
        <v>358</v>
      </c>
      <c r="E54" s="12" t="s">
        <v>100</v>
      </c>
      <c r="F54" s="9"/>
      <c r="G54" s="10"/>
      <c r="H54" s="10"/>
      <c r="I54" s="12"/>
      <c r="J54" s="9" t="s">
        <v>20</v>
      </c>
      <c r="K54" s="9"/>
      <c r="L54" s="9"/>
      <c r="M54" s="9"/>
      <c r="N54" s="9"/>
      <c r="O54" s="12"/>
      <c r="P54" s="12"/>
      <c r="Q54" s="9">
        <f>IF(IniciativasIA[[#This Row],[Viabilidad]]="Alta",3,IF(IniciativasIA[[#This Row],[Viabilidad]]="Media",2,1))</f>
        <v>1</v>
      </c>
      <c r="R54" s="9"/>
      <c r="S54" s="12"/>
      <c r="T54" s="12"/>
      <c r="U54" s="12"/>
      <c r="V54" s="12"/>
      <c r="W54" s="9">
        <f>IF(IniciativasIA[[#This Row],[Complejidad]]="Alta",3,IF(IniciativasIA[[#This Row],[Complejidad]]="Media",2,1))</f>
        <v>1</v>
      </c>
      <c r="X54" s="12"/>
      <c r="Y54" s="12"/>
      <c r="Z54" s="12"/>
      <c r="AA54" s="12"/>
      <c r="AB54" s="12"/>
      <c r="AC54" s="10"/>
      <c r="AD54" s="10"/>
      <c r="AE54" s="12"/>
      <c r="AF54" s="5"/>
      <c r="AG54" s="5"/>
      <c r="AH54" s="5"/>
      <c r="AI54" s="5"/>
      <c r="AJ54" s="5"/>
      <c r="AK54" s="5"/>
      <c r="AL54" s="5"/>
      <c r="AM54" s="4">
        <f>IFERROR((IniciativasIA[[#This Row],[Reach]]*IniciativasIA[[#This Row],[Impact]]*IniciativasIA[[#This Row],[Confidence]])/(IniciativasIA[[#This Row],[Effort]]*IniciativasIA[[#This Row],[AI Complexity]]/2),)</f>
        <v>0</v>
      </c>
      <c r="AN54" s="1">
        <f>(RANK(IniciativasIA[[#This Row],[RIC]],IniciativasIA[RIC],1)-1) / (COUNT(IniciativasIA[RIC])-1)</f>
        <v>0</v>
      </c>
      <c r="AO54" s="12"/>
      <c r="AP54" s="12"/>
      <c r="AQ54" s="12"/>
      <c r="AR54" s="12"/>
      <c r="AS54" s="13"/>
      <c r="AT54" s="13">
        <v>46052</v>
      </c>
      <c r="AU54" s="17">
        <v>46081</v>
      </c>
      <c r="AV54" s="17"/>
      <c r="AW54" s="17"/>
      <c r="AX54" s="17"/>
      <c r="AY54" s="17"/>
      <c r="AZ54" s="17"/>
      <c r="BA54" s="5" t="s">
        <v>360</v>
      </c>
      <c r="BB54" s="5"/>
      <c r="BC54" s="5" t="str" cm="1">
        <f t="array" aca="1" ref="BC54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Análisis</v>
      </c>
      <c r="BD54" s="19" cm="1">
        <f t="array" aca="1" ref="BD54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46081</v>
      </c>
      <c r="BE54" s="20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x14ac:dyDescent="0.35">
      <c r="A55" s="9">
        <v>53</v>
      </c>
      <c r="B55" s="9" t="s">
        <v>392</v>
      </c>
      <c r="C55" s="9" t="s">
        <v>393</v>
      </c>
      <c r="D55" s="9" t="s">
        <v>79</v>
      </c>
      <c r="E55" s="12" t="s">
        <v>132</v>
      </c>
      <c r="F55" s="9"/>
      <c r="G55" s="10"/>
      <c r="H55" s="10"/>
      <c r="I55" s="12"/>
      <c r="J55" s="12" t="s">
        <v>19</v>
      </c>
      <c r="K55" s="9"/>
      <c r="L55" s="9"/>
      <c r="M55" s="9"/>
      <c r="N55" s="9"/>
      <c r="O55" s="12"/>
      <c r="P55" s="12" t="s">
        <v>85</v>
      </c>
      <c r="Q55" s="9">
        <f>IF(IniciativasIA[[#This Row],[Viabilidad]]="Alta",3,IF(IniciativasIA[[#This Row],[Viabilidad]]="Media",2,1))</f>
        <v>3</v>
      </c>
      <c r="R55" s="9"/>
      <c r="S55" s="12"/>
      <c r="T55" s="12"/>
      <c r="U55" s="12"/>
      <c r="V55" s="12" t="s">
        <v>121</v>
      </c>
      <c r="W55" s="9">
        <f>IF(IniciativasIA[[#This Row],[Complejidad]]="Alta",3,IF(IniciativasIA[[#This Row],[Complejidad]]="Media",2,1))</f>
        <v>1</v>
      </c>
      <c r="X55" s="12"/>
      <c r="Y55" s="12"/>
      <c r="Z55" s="12" t="s">
        <v>339</v>
      </c>
      <c r="AA55" s="12" t="s">
        <v>150</v>
      </c>
      <c r="AB55" s="12"/>
      <c r="AC55" s="10"/>
      <c r="AD55" s="10"/>
      <c r="AE55" s="12"/>
      <c r="AF55" s="5"/>
      <c r="AG55" s="5"/>
      <c r="AH55" s="5"/>
      <c r="AI55" s="5"/>
      <c r="AJ55" s="5"/>
      <c r="AK55" s="5"/>
      <c r="AL55" s="5"/>
      <c r="AM55" s="4">
        <f>IFERROR((IniciativasIA[[#This Row],[Reach]]*IniciativasIA[[#This Row],[Impact]]*IniciativasIA[[#This Row],[Confidence]])/(IniciativasIA[[#This Row],[Effort]]*IniciativasIA[[#This Row],[AI Complexity]]/2),)</f>
        <v>0</v>
      </c>
      <c r="AN55" s="1">
        <f>(RANK(IniciativasIA[[#This Row],[RIC]],IniciativasIA[RIC],1)-1) / (COUNT(IniciativasIA[RIC])-1)</f>
        <v>0</v>
      </c>
      <c r="AO55" s="12"/>
      <c r="AP55" s="12"/>
      <c r="AQ55" s="12"/>
      <c r="AR55" s="12"/>
      <c r="AS55" s="13">
        <v>46078</v>
      </c>
      <c r="AT55" s="13"/>
      <c r="AU55" s="17"/>
      <c r="AV55" s="17"/>
      <c r="AW55" s="17"/>
      <c r="AX55" s="17"/>
      <c r="AY55" s="17"/>
      <c r="AZ55" s="17"/>
      <c r="BA55" s="5" t="s">
        <v>126</v>
      </c>
      <c r="BB55" s="5"/>
      <c r="BC55" s="5" t="str" cm="1">
        <f t="array" aca="1" ref="BC55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55" s="19" t="str" cm="1">
        <f t="array" aca="1" ref="BD55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55" s="20"/>
      <c r="BF55" s="5"/>
      <c r="BG55" s="1" t="s">
        <v>139</v>
      </c>
      <c r="BH55" s="1" t="s">
        <v>140</v>
      </c>
      <c r="BI55" s="1" t="s">
        <v>128</v>
      </c>
      <c r="BJ55" s="1"/>
      <c r="BK55" s="1" t="s">
        <v>141</v>
      </c>
      <c r="BL55" s="1"/>
      <c r="BM55" s="1"/>
      <c r="BN55" s="1"/>
      <c r="BO55" s="1" t="s">
        <v>142</v>
      </c>
      <c r="BP55" s="5"/>
    </row>
    <row r="56" spans="1:68" x14ac:dyDescent="0.35">
      <c r="A56" s="9">
        <v>54</v>
      </c>
      <c r="B56" s="9" t="s">
        <v>394</v>
      </c>
      <c r="C56" s="9"/>
      <c r="D56" s="9" t="s">
        <v>352</v>
      </c>
      <c r="E56" s="12" t="s">
        <v>100</v>
      </c>
      <c r="F56" s="9"/>
      <c r="G56" s="10"/>
      <c r="H56" s="10"/>
      <c r="I56" s="12"/>
      <c r="J56" s="9" t="s">
        <v>20</v>
      </c>
      <c r="K56" s="9"/>
      <c r="L56" s="9"/>
      <c r="M56" s="9"/>
      <c r="N56" s="9"/>
      <c r="O56" s="12"/>
      <c r="P56" s="12"/>
      <c r="Q56" s="9">
        <f>IF(IniciativasIA[[#This Row],[Viabilidad]]="Alta",3,IF(IniciativasIA[[#This Row],[Viabilidad]]="Media",2,1))</f>
        <v>1</v>
      </c>
      <c r="R56" s="9"/>
      <c r="S56" s="12"/>
      <c r="T56" s="12"/>
      <c r="U56" s="12"/>
      <c r="V56" s="12"/>
      <c r="W56" s="9">
        <f>IF(IniciativasIA[[#This Row],[Complejidad]]="Alta",3,IF(IniciativasIA[[#This Row],[Complejidad]]="Media",2,1))</f>
        <v>1</v>
      </c>
      <c r="X56" s="12"/>
      <c r="Y56" s="12"/>
      <c r="Z56" s="12"/>
      <c r="AA56" s="12"/>
      <c r="AB56" s="12"/>
      <c r="AC56" s="10"/>
      <c r="AD56" s="10"/>
      <c r="AE56" s="12"/>
      <c r="AF56" s="5"/>
      <c r="AG56" s="5"/>
      <c r="AH56" s="5"/>
      <c r="AI56" s="5"/>
      <c r="AJ56" s="5"/>
      <c r="AK56" s="5"/>
      <c r="AL56" s="5"/>
      <c r="AM56" s="4">
        <f>IFERROR((IniciativasIA[[#This Row],[Reach]]*IniciativasIA[[#This Row],[Impact]]*IniciativasIA[[#This Row],[Confidence]])/(IniciativasIA[[#This Row],[Effort]]*IniciativasIA[[#This Row],[AI Complexity]]/2),)</f>
        <v>0</v>
      </c>
      <c r="AN56" s="1">
        <f>(RANK(IniciativasIA[[#This Row],[RIC]],IniciativasIA[RIC],1)-1) / (COUNT(IniciativasIA[RIC])-1)</f>
        <v>0</v>
      </c>
      <c r="AO56" s="12"/>
      <c r="AP56" s="12"/>
      <c r="AQ56" s="12"/>
      <c r="AR56" s="12"/>
      <c r="AS56" s="13"/>
      <c r="AT56" s="13"/>
      <c r="AU56" s="17">
        <v>46006</v>
      </c>
      <c r="AV56" s="17"/>
      <c r="AW56" s="17">
        <v>46037</v>
      </c>
      <c r="AX56" s="17">
        <v>46052</v>
      </c>
      <c r="AY56" s="17">
        <v>46096</v>
      </c>
      <c r="AZ56" s="17"/>
      <c r="BA56" s="5" t="s">
        <v>110</v>
      </c>
      <c r="BB56" s="5" t="s">
        <v>111</v>
      </c>
      <c r="BC56" s="5" t="str" cm="1">
        <f t="array" aca="1" ref="BC56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Iteración / Pruebas</v>
      </c>
      <c r="BD56" s="19" cm="1">
        <f t="array" aca="1" ref="BD56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46096</v>
      </c>
      <c r="BE56" s="20"/>
      <c r="BF56" s="5"/>
      <c r="BG56" s="5"/>
      <c r="BH56" s="5" t="s">
        <v>112</v>
      </c>
      <c r="BI56" s="5"/>
      <c r="BJ56" s="5" t="s">
        <v>112</v>
      </c>
      <c r="BK56" s="5"/>
      <c r="BL56" s="5"/>
      <c r="BM56" s="5"/>
      <c r="BN56" s="5"/>
      <c r="BO56" s="5" t="s">
        <v>112</v>
      </c>
      <c r="BP56" s="5"/>
    </row>
    <row r="57" spans="1:68" ht="29" x14ac:dyDescent="0.35">
      <c r="A57" s="9">
        <v>55</v>
      </c>
      <c r="B57" s="9" t="s">
        <v>395</v>
      </c>
      <c r="C57" s="9" t="s">
        <v>211</v>
      </c>
      <c r="D57" s="9" t="s">
        <v>169</v>
      </c>
      <c r="E57" s="12" t="s">
        <v>212</v>
      </c>
      <c r="F57" s="9" t="s">
        <v>213</v>
      </c>
      <c r="G57" s="10">
        <v>200</v>
      </c>
      <c r="H57" s="10"/>
      <c r="I57" s="12" t="s">
        <v>214</v>
      </c>
      <c r="J57" s="12" t="s">
        <v>21</v>
      </c>
      <c r="K57" s="11"/>
      <c r="L57" s="11"/>
      <c r="M57" s="11" t="s">
        <v>83</v>
      </c>
      <c r="N57" s="11"/>
      <c r="O57" s="12" t="s">
        <v>84</v>
      </c>
      <c r="P57" s="12" t="s">
        <v>85</v>
      </c>
      <c r="Q57" s="9">
        <f>IF(IniciativasIA[[#This Row],[Viabilidad]]="Alta",3,IF(IniciativasIA[[#This Row],[Viabilidad]]="Media",2,1))</f>
        <v>3</v>
      </c>
      <c r="R57" s="9" t="s">
        <v>215</v>
      </c>
      <c r="S57" s="12" t="s">
        <v>87</v>
      </c>
      <c r="T57" s="12"/>
      <c r="U57" s="12" t="s">
        <v>120</v>
      </c>
      <c r="V57" s="12" t="s">
        <v>121</v>
      </c>
      <c r="W57" s="9">
        <f>IF(IniciativasIA[[#This Row],[Complejidad]]="Alta",3,IF(IniciativasIA[[#This Row],[Complejidad]]="Media",2,1))</f>
        <v>1</v>
      </c>
      <c r="X57" s="12" t="s">
        <v>122</v>
      </c>
      <c r="Y57" s="12" t="s">
        <v>121</v>
      </c>
      <c r="Z57" s="12" t="s">
        <v>216</v>
      </c>
      <c r="AA57" s="12" t="s">
        <v>92</v>
      </c>
      <c r="AB57" s="12" t="s">
        <v>93</v>
      </c>
      <c r="AC57" s="10">
        <f>G57*0.001*1000000</f>
        <v>200000</v>
      </c>
      <c r="AD57" s="10"/>
      <c r="AE57" s="12" t="s">
        <v>89</v>
      </c>
      <c r="AF57" s="5">
        <v>6</v>
      </c>
      <c r="AG57" s="5">
        <v>9</v>
      </c>
      <c r="AH57" s="5">
        <v>6</v>
      </c>
      <c r="AI57" s="5">
        <v>6.5</v>
      </c>
      <c r="AJ57" s="5">
        <v>8</v>
      </c>
      <c r="AK57" s="5">
        <v>9</v>
      </c>
      <c r="AL57" s="5">
        <v>4</v>
      </c>
      <c r="AM57" s="4">
        <f>IFERROR((IniciativasIA[[#This Row],[Reach]]*IniciativasIA[[#This Row],[Impact]]*IniciativasIA[[#This Row],[Confidence]])/(IniciativasIA[[#This Row],[Effort]]*IniciativasIA[[#This Row],[AI Complexity]]/2),)</f>
        <v>17.333333333333332</v>
      </c>
      <c r="AN57" s="16">
        <f>(RANK(IniciativasIA[[#This Row],[RIC]],IniciativasIA[RIC],1)-1) / (COUNT(IniciativasIA[RIC])-1)</f>
        <v>0.5178571428571429</v>
      </c>
      <c r="AO57" s="12" t="s">
        <v>217</v>
      </c>
      <c r="AP57" s="12"/>
      <c r="AQ57" s="12" t="s">
        <v>96</v>
      </c>
      <c r="AR57" s="12"/>
      <c r="AS57" s="13">
        <v>45566</v>
      </c>
      <c r="AT57" s="13">
        <v>45658</v>
      </c>
      <c r="AU57" s="17">
        <v>45689</v>
      </c>
      <c r="AV57" s="17"/>
      <c r="AW57" s="17">
        <v>45778</v>
      </c>
      <c r="AX57" s="17">
        <v>45809</v>
      </c>
      <c r="AY57" s="17">
        <v>45901</v>
      </c>
      <c r="AZ57" s="17">
        <v>46234</v>
      </c>
      <c r="BA57" s="5" t="s">
        <v>126</v>
      </c>
      <c r="BB57" s="5" t="s">
        <v>218</v>
      </c>
      <c r="BC57" s="5" t="str" cm="1">
        <f t="array" aca="1" ref="BC57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Mantenimiento</v>
      </c>
      <c r="BD57" s="19" cm="1">
        <f t="array" aca="1" ref="BD57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>46234</v>
      </c>
      <c r="BE57" s="20"/>
      <c r="BF57" s="5" t="s">
        <v>138</v>
      </c>
      <c r="BG57" s="5" t="s">
        <v>139</v>
      </c>
      <c r="BH57" s="5" t="s">
        <v>140</v>
      </c>
      <c r="BI57" s="5" t="s">
        <v>128</v>
      </c>
      <c r="BJ57" s="5"/>
      <c r="BK57" s="5" t="s">
        <v>129</v>
      </c>
      <c r="BL57" s="5"/>
      <c r="BM57" s="5"/>
      <c r="BN57" s="5"/>
      <c r="BO57" s="5" t="s">
        <v>142</v>
      </c>
      <c r="BP57" s="5"/>
    </row>
    <row r="58" spans="1:68" ht="58" x14ac:dyDescent="0.35">
      <c r="A58" s="9">
        <v>56</v>
      </c>
      <c r="B58" s="9" t="s">
        <v>396</v>
      </c>
      <c r="C58" s="9" t="s">
        <v>397</v>
      </c>
      <c r="D58" s="9" t="s">
        <v>398</v>
      </c>
      <c r="E58" s="12" t="s">
        <v>399</v>
      </c>
      <c r="F58" s="9"/>
      <c r="G58" s="10"/>
      <c r="H58" s="10"/>
      <c r="I58" s="12"/>
      <c r="J58" s="12" t="s">
        <v>21</v>
      </c>
      <c r="K58" s="9"/>
      <c r="L58" s="9"/>
      <c r="M58" s="9"/>
      <c r="N58" s="9"/>
      <c r="O58" s="12"/>
      <c r="P58" s="12" t="s">
        <v>85</v>
      </c>
      <c r="Q58" s="9">
        <f>IF(IniciativasIA[[#This Row],[Viabilidad]]="Alta",3,IF(IniciativasIA[[#This Row],[Viabilidad]]="Media",2,1))</f>
        <v>3</v>
      </c>
      <c r="R58" s="9" t="s">
        <v>400</v>
      </c>
      <c r="S58" s="12" t="s">
        <v>87</v>
      </c>
      <c r="T58" s="12"/>
      <c r="U58" s="12" t="s">
        <v>120</v>
      </c>
      <c r="V58" s="12" t="s">
        <v>121</v>
      </c>
      <c r="W58" s="9">
        <f>IF(IniciativasIA[[#This Row],[Complejidad]]="Alta",3,IF(IniciativasIA[[#This Row],[Complejidad]]="Media",2,1))</f>
        <v>1</v>
      </c>
      <c r="X58" s="12" t="s">
        <v>90</v>
      </c>
      <c r="Y58" s="12"/>
      <c r="Z58" s="12" t="s">
        <v>388</v>
      </c>
      <c r="AA58" s="12" t="s">
        <v>92</v>
      </c>
      <c r="AB58" s="12"/>
      <c r="AC58" s="10"/>
      <c r="AD58" s="10"/>
      <c r="AE58" s="12"/>
      <c r="AF58" s="5"/>
      <c r="AG58" s="5"/>
      <c r="AH58" s="5"/>
      <c r="AI58" s="5"/>
      <c r="AJ58" s="5"/>
      <c r="AK58" s="5"/>
      <c r="AL58" s="5"/>
      <c r="AM58" s="4">
        <f>IFERROR((IniciativasIA[[#This Row],[Reach]]*IniciativasIA[[#This Row],[Impact]]*IniciativasIA[[#This Row],[Confidence]])/(IniciativasIA[[#This Row],[Effort]]*IniciativasIA[[#This Row],[AI Complexity]]/2),)</f>
        <v>0</v>
      </c>
      <c r="AN58" s="1">
        <f>(RANK(IniciativasIA[[#This Row],[RIC]],IniciativasIA[RIC],1)-1) / (COUNT(IniciativasIA[RIC])-1)</f>
        <v>0</v>
      </c>
      <c r="AO58" s="12"/>
      <c r="AP58" s="12"/>
      <c r="AQ58" s="12"/>
      <c r="AR58" s="12"/>
      <c r="AS58" s="13">
        <v>46084</v>
      </c>
      <c r="AT58" s="13">
        <v>45719</v>
      </c>
      <c r="AU58" s="17"/>
      <c r="AV58" s="17"/>
      <c r="AW58" s="17"/>
      <c r="AX58" s="17"/>
      <c r="AY58" s="17"/>
      <c r="AZ58" s="17"/>
      <c r="BA58" s="5" t="s">
        <v>126</v>
      </c>
      <c r="BB58" s="5" t="s">
        <v>401</v>
      </c>
      <c r="BC58" s="5" t="str" cm="1">
        <f t="array" aca="1" ref="BC58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58" s="19" t="str" cm="1">
        <f t="array" aca="1" ref="BD58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58" s="20"/>
      <c r="BF58" s="5"/>
      <c r="BG58" s="5"/>
      <c r="BH58" s="5"/>
      <c r="BI58" s="5"/>
      <c r="BJ58" s="5"/>
      <c r="BK58" s="5" t="s">
        <v>402</v>
      </c>
      <c r="BL58" s="5"/>
      <c r="BM58" s="5"/>
      <c r="BN58" s="5"/>
      <c r="BO58" s="5"/>
      <c r="BP58" s="5"/>
    </row>
    <row r="59" spans="1:68" x14ac:dyDescent="0.35">
      <c r="A59" s="9">
        <v>57</v>
      </c>
      <c r="B59" s="9" t="s">
        <v>403</v>
      </c>
      <c r="C59" s="9"/>
      <c r="D59" s="9"/>
      <c r="E59" s="12"/>
      <c r="F59" s="9"/>
      <c r="G59" s="10"/>
      <c r="H59" s="10"/>
      <c r="I59" s="12"/>
      <c r="J59" s="12"/>
      <c r="K59" s="9"/>
      <c r="L59" s="9"/>
      <c r="M59" s="9"/>
      <c r="N59" s="9"/>
      <c r="O59" s="12"/>
      <c r="P59" s="12"/>
      <c r="Q59" s="9">
        <f>IF(IniciativasIA[[#This Row],[Viabilidad]]="Alta",3,IF(IniciativasIA[[#This Row],[Viabilidad]]="Media",2,1))</f>
        <v>1</v>
      </c>
      <c r="R59" s="9"/>
      <c r="S59" s="12"/>
      <c r="T59" s="12"/>
      <c r="U59" s="12"/>
      <c r="V59" s="12"/>
      <c r="W59" s="9">
        <f>IF(IniciativasIA[[#This Row],[Complejidad]]="Alta",3,IF(IniciativasIA[[#This Row],[Complejidad]]="Media",2,1))</f>
        <v>1</v>
      </c>
      <c r="X59" s="12"/>
      <c r="Y59" s="12"/>
      <c r="Z59" s="12"/>
      <c r="AA59" s="12"/>
      <c r="AB59" s="12"/>
      <c r="AC59" s="10"/>
      <c r="AD59" s="10"/>
      <c r="AE59" s="12"/>
      <c r="AF59" s="5"/>
      <c r="AG59" s="5"/>
      <c r="AH59" s="5"/>
      <c r="AI59" s="5"/>
      <c r="AJ59" s="5"/>
      <c r="AK59" s="5"/>
      <c r="AL59" s="5"/>
      <c r="AM59" s="4">
        <f>IFERROR((IniciativasIA[[#This Row],[Reach]]*IniciativasIA[[#This Row],[Impact]]*IniciativasIA[[#This Row],[Confidence]])/(IniciativasIA[[#This Row],[Effort]]*IniciativasIA[[#This Row],[AI Complexity]]/2),)</f>
        <v>0</v>
      </c>
      <c r="AN59" s="1">
        <f>(RANK(IniciativasIA[[#This Row],[RIC]],IniciativasIA[RIC],1)-1) / (COUNT(IniciativasIA[RIC])-1)</f>
        <v>0</v>
      </c>
      <c r="AO59" s="12"/>
      <c r="AP59" s="12"/>
      <c r="AQ59" s="12"/>
      <c r="AR59" s="12"/>
      <c r="AS59" s="13"/>
      <c r="AT59" s="13"/>
      <c r="AU59" s="17"/>
      <c r="AV59" s="17"/>
      <c r="AW59" s="17"/>
      <c r="AX59" s="17"/>
      <c r="AY59" s="17"/>
      <c r="AZ59" s="17"/>
      <c r="BA59" s="5"/>
      <c r="BB59" s="5"/>
      <c r="BC59" s="5" t="str" cm="1">
        <f t="array" aca="1" ref="BC59" ca="1">IFERROR(INDEX(IniciativasIA[[#Headers],[Análisis]:[Mantenimiento]],1,MATCH(1, (TODAY()&lt;IniciativasIA[[#This Row],[Análisis]:[Mantenimiento]])*(0&lt;&gt;IniciativasIA[[#This Row],[Análisis]:[Mantenimiento]]), 0)),IF(COUNTA(IniciativasIA[[#This Row],[Análisis]:[Mantenimiento]])=0,"Pendiente revisión",INDEX(IniciativasIA[[#Headers],[Análisis]:[Mantenimiento]],1,COUNTA(IniciativasIA[[#This Row],[Análisis]:[Mantenimiento]]))))</f>
        <v>Pendiente revisión</v>
      </c>
      <c r="BD59" s="19" t="str" cm="1">
        <f t="array" aca="1" ref="BD59" ca="1">IFERROR(INDEX(IniciativasIA[[#This Row],[Análisis]:[Mantenimiento]],1,MATCH(1, (TODAY()&lt;IniciativasIA[[#This Row],[Análisis]:[Mantenimiento]])*(0&lt;&gt;IniciativasIA[[#This Row],[Análisis]:[Mantenimiento]]), 0)),IF(COUNTA(IniciativasIA[[#This Row],[Análisis]:[Mantenimiento]])=0,"",INDEX(IniciativasIA[[#This Row],[Análisis]:[Mantenimiento]],1,COUNTA(IniciativasIA[[#This Row],[Análisis]:[Mantenimiento]]))))</f>
        <v/>
      </c>
      <c r="BE59" s="20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</sheetData>
  <mergeCells count="9">
    <mergeCell ref="AO1:AS1"/>
    <mergeCell ref="Z1:AD1"/>
    <mergeCell ref="AT1:BE1"/>
    <mergeCell ref="BF1:BP1"/>
    <mergeCell ref="E1:H1"/>
    <mergeCell ref="I1:N1"/>
    <mergeCell ref="P1:U1"/>
    <mergeCell ref="V1:Y1"/>
    <mergeCell ref="AE1:AM1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DFC1B93F4DF44B937E2EC8FDF4066" ma:contentTypeVersion="3" ma:contentTypeDescription="Create a new document." ma:contentTypeScope="" ma:versionID="8aee155a9f6c4cf60589e360f7cf808e">
  <xsd:schema xmlns:xsd="http://www.w3.org/2001/XMLSchema" xmlns:xs="http://www.w3.org/2001/XMLSchema" xmlns:p="http://schemas.microsoft.com/office/2006/metadata/properties" xmlns:ns2="b39c7009-ddd2-4d44-abb3-bb6043c79e51" targetNamespace="http://schemas.microsoft.com/office/2006/metadata/properties" ma:root="true" ma:fieldsID="f05a1ea7bbf428ecae31d5299e1acc07" ns2:_="">
    <xsd:import namespace="b39c7009-ddd2-4d44-abb3-bb6043c79e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7009-ddd2-4d44-abb3-bb6043c79e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E3B30C-4A9F-458D-8EC3-1444B2CB8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9c7009-ddd2-4d44-abb3-bb6043c79e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53703D-1F95-4B2D-AAB9-0CEEB6B31A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96DBA5-71DD-4CAD-832E-539CD2A61369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a99f084c-1a30-4b35-b11a-41e6e1be766a}" enabled="1" method="Privileged" siteId="{c8e8bdb6-8e7c-41d5-bc41-37fff3c33b7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Héctor Sanz Serrano</cp:lastModifiedBy>
  <cp:revision/>
  <dcterms:created xsi:type="dcterms:W3CDTF">2026-01-30T09:30:31Z</dcterms:created>
  <dcterms:modified xsi:type="dcterms:W3CDTF">2026-03-06T14:00:46Z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0x0101005B7DFC1B93F4DF44B937E2EC8FDF4066</vt:lpwstr>
  </property>
</Properties>
</file>